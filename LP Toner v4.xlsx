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OneDrive\Escritorio\"/>
    </mc:Choice>
  </mc:AlternateContent>
  <xr:revisionPtr revIDLastSave="0" documentId="13_ncr:1_{1D00FD92-9151-43E4-98DE-7EFC52DC2F5E}" xr6:coauthVersionLast="47" xr6:coauthVersionMax="47" xr10:uidLastSave="{00000000-0000-0000-0000-000000000000}"/>
  <bookViews>
    <workbookView xWindow="-28920" yWindow="-120" windowWidth="29040" windowHeight="15990" xr2:uid="{A0CEFBF8-379A-4119-BF08-2956680819B9}"/>
  </bookViews>
  <sheets>
    <sheet name="TONER BN" sheetId="1" r:id="rId1"/>
  </sheets>
  <definedNames>
    <definedName name="_xlnm._FilterDatabase" localSheetId="0" hidden="1">'TONER BN'!$A$1:$E$20</definedName>
    <definedName name="_xlnm.Print_Area" localSheetId="0">'TONER BN'!$A$1:$E$31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7" i="1" l="1"/>
  <c r="F187" i="1"/>
  <c r="G186" i="1"/>
  <c r="F186" i="1"/>
  <c r="F185" i="1"/>
  <c r="G185" i="1" s="1"/>
  <c r="G184" i="1"/>
  <c r="F184" i="1"/>
  <c r="G183" i="1"/>
  <c r="F183" i="1"/>
  <c r="F182" i="1"/>
  <c r="G182" i="1" s="1"/>
  <c r="G181" i="1"/>
  <c r="F181" i="1"/>
  <c r="G180" i="1"/>
  <c r="F180" i="1"/>
  <c r="F179" i="1"/>
  <c r="G179" i="1" s="1"/>
  <c r="G178" i="1"/>
  <c r="F178" i="1"/>
  <c r="G177" i="1"/>
  <c r="F177" i="1"/>
  <c r="F176" i="1"/>
  <c r="G176" i="1" s="1"/>
  <c r="G175" i="1"/>
  <c r="F175" i="1"/>
  <c r="G174" i="1"/>
  <c r="F174" i="1"/>
  <c r="F173" i="1"/>
  <c r="G173" i="1" s="1"/>
  <c r="G172" i="1"/>
  <c r="F172" i="1"/>
  <c r="G171" i="1"/>
  <c r="F171" i="1"/>
  <c r="F170" i="1"/>
  <c r="G170" i="1" s="1"/>
  <c r="G169" i="1"/>
  <c r="F169" i="1"/>
  <c r="G168" i="1"/>
  <c r="F168" i="1"/>
  <c r="F167" i="1"/>
  <c r="G167" i="1" s="1"/>
  <c r="G166" i="1"/>
  <c r="F166" i="1"/>
  <c r="G165" i="1"/>
  <c r="F165" i="1"/>
  <c r="F164" i="1"/>
  <c r="G164" i="1" s="1"/>
  <c r="G163" i="1"/>
  <c r="F163" i="1"/>
  <c r="G162" i="1"/>
  <c r="F162" i="1"/>
  <c r="F161" i="1"/>
  <c r="G161" i="1" s="1"/>
  <c r="G160" i="1"/>
  <c r="F160" i="1"/>
  <c r="G159" i="1"/>
  <c r="F159" i="1"/>
  <c r="F158" i="1"/>
  <c r="G158" i="1" s="1"/>
  <c r="G157" i="1"/>
  <c r="F157" i="1"/>
  <c r="G156" i="1"/>
  <c r="F156" i="1"/>
  <c r="F155" i="1"/>
  <c r="G155" i="1" s="1"/>
  <c r="G154" i="1"/>
  <c r="F154" i="1"/>
  <c r="G153" i="1"/>
  <c r="F153" i="1"/>
  <c r="F152" i="1"/>
  <c r="G152" i="1" s="1"/>
  <c r="G151" i="1"/>
  <c r="F151" i="1"/>
  <c r="G150" i="1"/>
  <c r="F150" i="1"/>
  <c r="F149" i="1"/>
  <c r="G149" i="1" s="1"/>
  <c r="G148" i="1"/>
  <c r="F148" i="1"/>
  <c r="G147" i="1"/>
  <c r="F147" i="1"/>
  <c r="F146" i="1"/>
  <c r="G146" i="1" s="1"/>
  <c r="G145" i="1"/>
  <c r="F145" i="1"/>
  <c r="G144" i="1"/>
  <c r="F144" i="1"/>
  <c r="F143" i="1"/>
  <c r="G143" i="1" s="1"/>
  <c r="G142" i="1"/>
  <c r="F142" i="1"/>
  <c r="G141" i="1"/>
  <c r="F141" i="1"/>
  <c r="F140" i="1"/>
  <c r="G140" i="1" s="1"/>
  <c r="G139" i="1"/>
  <c r="F139" i="1"/>
  <c r="G138" i="1"/>
  <c r="F138" i="1"/>
  <c r="F137" i="1"/>
  <c r="G137" i="1" s="1"/>
  <c r="G136" i="1"/>
  <c r="F136" i="1"/>
  <c r="G135" i="1"/>
  <c r="F135" i="1"/>
  <c r="F134" i="1"/>
  <c r="G134" i="1" s="1"/>
  <c r="G133" i="1"/>
  <c r="F133" i="1"/>
  <c r="G132" i="1"/>
  <c r="F132" i="1"/>
  <c r="F131" i="1"/>
  <c r="G131" i="1" s="1"/>
  <c r="G130" i="1"/>
  <c r="F130" i="1"/>
  <c r="G129" i="1"/>
  <c r="F129" i="1"/>
  <c r="F128" i="1"/>
  <c r="G128" i="1" s="1"/>
  <c r="G127" i="1"/>
  <c r="F127" i="1"/>
  <c r="G126" i="1"/>
  <c r="F126" i="1"/>
  <c r="F125" i="1"/>
  <c r="G125" i="1" s="1"/>
  <c r="G124" i="1"/>
  <c r="F124" i="1"/>
  <c r="G123" i="1"/>
  <c r="F123" i="1"/>
  <c r="F122" i="1"/>
  <c r="G122" i="1" s="1"/>
  <c r="G121" i="1"/>
  <c r="F121" i="1"/>
  <c r="G120" i="1"/>
  <c r="F120" i="1"/>
  <c r="F119" i="1"/>
  <c r="G119" i="1" s="1"/>
  <c r="G118" i="1"/>
  <c r="F118" i="1"/>
  <c r="G117" i="1"/>
  <c r="F117" i="1"/>
  <c r="F116" i="1"/>
  <c r="G116" i="1" s="1"/>
  <c r="G115" i="1"/>
  <c r="F115" i="1"/>
  <c r="G114" i="1"/>
  <c r="F114" i="1"/>
  <c r="F113" i="1"/>
  <c r="G113" i="1" s="1"/>
  <c r="G112" i="1"/>
  <c r="F112" i="1"/>
  <c r="G111" i="1"/>
  <c r="F111" i="1"/>
  <c r="F110" i="1"/>
  <c r="G110" i="1" s="1"/>
  <c r="G109" i="1"/>
  <c r="F109" i="1"/>
  <c r="G108" i="1"/>
  <c r="F108" i="1"/>
  <c r="F107" i="1"/>
  <c r="G107" i="1" s="1"/>
  <c r="G106" i="1"/>
  <c r="F106" i="1"/>
  <c r="G105" i="1"/>
  <c r="F105" i="1"/>
  <c r="F104" i="1"/>
  <c r="G104" i="1" s="1"/>
  <c r="G103" i="1"/>
  <c r="F103" i="1"/>
  <c r="G102" i="1"/>
  <c r="F102" i="1"/>
  <c r="F101" i="1"/>
  <c r="G101" i="1" s="1"/>
  <c r="G100" i="1"/>
  <c r="F100" i="1"/>
  <c r="G99" i="1"/>
  <c r="F99" i="1"/>
  <c r="F98" i="1"/>
  <c r="G98" i="1" s="1"/>
  <c r="G97" i="1"/>
  <c r="F97" i="1"/>
  <c r="G96" i="1"/>
  <c r="F96" i="1"/>
  <c r="F95" i="1"/>
  <c r="G95" i="1" s="1"/>
  <c r="G94" i="1"/>
  <c r="F94" i="1"/>
  <c r="G93" i="1"/>
  <c r="F93" i="1"/>
  <c r="F92" i="1"/>
  <c r="G92" i="1" s="1"/>
  <c r="G91" i="1"/>
  <c r="F91" i="1"/>
  <c r="G90" i="1"/>
  <c r="F90" i="1"/>
  <c r="F89" i="1"/>
  <c r="G89" i="1" s="1"/>
  <c r="G88" i="1"/>
  <c r="F88" i="1"/>
  <c r="G87" i="1"/>
  <c r="F87" i="1"/>
  <c r="F86" i="1"/>
  <c r="G86" i="1" s="1"/>
  <c r="G85" i="1"/>
  <c r="F85" i="1"/>
  <c r="G84" i="1"/>
  <c r="F84" i="1"/>
  <c r="F83" i="1"/>
  <c r="G83" i="1" s="1"/>
  <c r="G82" i="1"/>
  <c r="F82" i="1"/>
  <c r="G81" i="1"/>
  <c r="F81" i="1"/>
  <c r="F80" i="1"/>
  <c r="G80" i="1" s="1"/>
  <c r="G79" i="1"/>
  <c r="F79" i="1"/>
  <c r="G78" i="1"/>
  <c r="F78" i="1"/>
  <c r="F77" i="1"/>
  <c r="G77" i="1" s="1"/>
  <c r="G76" i="1"/>
  <c r="F76" i="1"/>
  <c r="G75" i="1"/>
  <c r="F75" i="1"/>
  <c r="F74" i="1"/>
  <c r="G74" i="1" s="1"/>
  <c r="G73" i="1"/>
  <c r="F73" i="1"/>
  <c r="G72" i="1"/>
  <c r="F72" i="1"/>
  <c r="F71" i="1"/>
  <c r="G71" i="1" s="1"/>
  <c r="G70" i="1"/>
  <c r="F70" i="1"/>
  <c r="G69" i="1"/>
  <c r="F69" i="1"/>
  <c r="F68" i="1"/>
  <c r="G68" i="1" s="1"/>
  <c r="G67" i="1"/>
  <c r="F67" i="1"/>
  <c r="G66" i="1"/>
  <c r="F66" i="1"/>
  <c r="F65" i="1"/>
  <c r="G65" i="1" s="1"/>
  <c r="G64" i="1"/>
  <c r="F64" i="1"/>
  <c r="G63" i="1"/>
  <c r="F63" i="1"/>
  <c r="F62" i="1"/>
  <c r="G62" i="1" s="1"/>
  <c r="G61" i="1"/>
  <c r="F61" i="1"/>
  <c r="G60" i="1"/>
  <c r="F60" i="1"/>
  <c r="F59" i="1"/>
  <c r="G59" i="1" s="1"/>
  <c r="G58" i="1"/>
  <c r="F58" i="1"/>
  <c r="G57" i="1"/>
  <c r="F57" i="1"/>
  <c r="F56" i="1"/>
  <c r="G56" i="1" s="1"/>
  <c r="G55" i="1"/>
  <c r="F55" i="1"/>
  <c r="G54" i="1"/>
  <c r="F54" i="1"/>
  <c r="F53" i="1"/>
  <c r="G53" i="1" s="1"/>
  <c r="G52" i="1"/>
  <c r="F52" i="1"/>
  <c r="G51" i="1"/>
  <c r="F51" i="1"/>
  <c r="F50" i="1"/>
  <c r="G50" i="1" s="1"/>
  <c r="G49" i="1"/>
  <c r="F49" i="1"/>
  <c r="G48" i="1"/>
  <c r="F48" i="1"/>
  <c r="F47" i="1"/>
  <c r="G47" i="1" s="1"/>
  <c r="G46" i="1"/>
  <c r="F46" i="1"/>
  <c r="G45" i="1"/>
  <c r="F45" i="1"/>
  <c r="F44" i="1"/>
  <c r="G44" i="1" s="1"/>
  <c r="G43" i="1"/>
  <c r="F43" i="1"/>
  <c r="G42" i="1"/>
  <c r="F42" i="1"/>
  <c r="F41" i="1"/>
  <c r="G41" i="1" s="1"/>
  <c r="G40" i="1"/>
  <c r="F40" i="1"/>
  <c r="G39" i="1"/>
  <c r="F39" i="1"/>
  <c r="F38" i="1"/>
  <c r="G38" i="1" s="1"/>
  <c r="G35" i="1"/>
  <c r="F35" i="1"/>
  <c r="G34" i="1"/>
  <c r="F34" i="1"/>
  <c r="F33" i="1"/>
  <c r="G33" i="1" s="1"/>
  <c r="G32" i="1"/>
  <c r="F32" i="1"/>
  <c r="G31" i="1"/>
  <c r="F31" i="1"/>
  <c r="F30" i="1"/>
  <c r="G30" i="1" s="1"/>
  <c r="G29" i="1"/>
  <c r="F29" i="1"/>
  <c r="G28" i="1"/>
  <c r="F28" i="1"/>
  <c r="F27" i="1"/>
  <c r="G27" i="1" s="1"/>
  <c r="G26" i="1"/>
  <c r="F26" i="1"/>
  <c r="G25" i="1"/>
  <c r="F25" i="1"/>
  <c r="F24" i="1"/>
  <c r="G24" i="1" s="1"/>
  <c r="G23" i="1"/>
  <c r="F23" i="1"/>
  <c r="G20" i="1"/>
  <c r="F20" i="1"/>
  <c r="F19" i="1"/>
  <c r="G19" i="1" s="1"/>
  <c r="G18" i="1"/>
  <c r="F18" i="1"/>
  <c r="G17" i="1"/>
  <c r="F17" i="1"/>
  <c r="F16" i="1"/>
  <c r="G16" i="1" s="1"/>
  <c r="G15" i="1"/>
  <c r="F15" i="1"/>
  <c r="G14" i="1"/>
  <c r="F14" i="1"/>
  <c r="F13" i="1"/>
  <c r="G13" i="1" s="1"/>
  <c r="G12" i="1"/>
  <c r="F12" i="1"/>
  <c r="G11" i="1"/>
  <c r="F11" i="1"/>
  <c r="F10" i="1"/>
  <c r="G10" i="1" s="1"/>
  <c r="G9" i="1"/>
  <c r="F9" i="1"/>
  <c r="G8" i="1"/>
  <c r="F8" i="1"/>
  <c r="F7" i="1"/>
  <c r="G7" i="1" s="1"/>
  <c r="G6" i="1"/>
  <c r="F6" i="1"/>
  <c r="G5" i="1"/>
  <c r="F5" i="1"/>
  <c r="F4" i="1"/>
  <c r="G4" i="1" s="1"/>
  <c r="G3" i="1"/>
  <c r="F3" i="1"/>
  <c r="G2" i="1"/>
  <c r="F2" i="1"/>
</calcChain>
</file>

<file path=xl/sharedStrings.xml><?xml version="1.0" encoding="utf-8"?>
<sst xmlns="http://schemas.openxmlformats.org/spreadsheetml/2006/main" count="288" uniqueCount="264">
  <si>
    <t>MODELO DE EQUIPO</t>
  </si>
  <si>
    <t>CODIGO</t>
  </si>
  <si>
    <t>REND 5%</t>
  </si>
  <si>
    <t>DESCRIPCION</t>
  </si>
  <si>
    <t>Sugerido</t>
  </si>
  <si>
    <t>Canal</t>
  </si>
  <si>
    <t>MP 5500/ MP 6000/MP 6001/MP 6002/MP 6500/MP 6503/MP 7000/MP 7001/MP 7500/ MP 7502/MP 7503/ MP 8000/MP 8001/ MP 9001/MP 9002/ MP 9003/IM 7000/8000/9000</t>
  </si>
  <si>
    <t xml:space="preserve">TONER 6110D-&gt;AFICIO 1060 / 1075 / MP7500  </t>
  </si>
  <si>
    <t>MP 305</t>
  </si>
  <si>
    <t>Print Cartridge BK MP 305</t>
  </si>
  <si>
    <t>IM 430/P502</t>
  </si>
  <si>
    <t>PRINT CARTRIDGE IM 430</t>
  </si>
  <si>
    <t>IM 460F</t>
  </si>
  <si>
    <t>Print Cartridge IM 460H</t>
  </si>
  <si>
    <t>IM 550F/IM 600F/P800/P801</t>
  </si>
  <si>
    <t>PRINT CARTRIDGE IM-600F</t>
  </si>
  <si>
    <t>IM 600F</t>
  </si>
  <si>
    <t>PRINT CARTRIDGE IM-600H</t>
  </si>
  <si>
    <t>M-400-FW</t>
  </si>
  <si>
    <t>25B3492</t>
  </si>
  <si>
    <t>Print Cartridge Black M 400</t>
  </si>
  <si>
    <t>25B3494</t>
  </si>
  <si>
    <t>Drum Unit M 400</t>
  </si>
  <si>
    <t>M-440F</t>
  </si>
  <si>
    <t>40S0165</t>
  </si>
  <si>
    <t>Print Cartridge Black M 440</t>
  </si>
  <si>
    <t>40S0166</t>
  </si>
  <si>
    <t>Drum Unit M 440</t>
  </si>
  <si>
    <t>MP 2554/MP 255/3054/3055/3555/IM 2500/3000</t>
  </si>
  <si>
    <t>PRINT CARTRIDGE MP 3554 SP</t>
  </si>
  <si>
    <t>MP 501 MP 601/5300/5310</t>
  </si>
  <si>
    <t>BK PRINT CARTRIDGE MP 501 / MP 601</t>
  </si>
  <si>
    <t>PRECIO ESPECIAL SOLO APLICA A COMPRAS MAYORES DE 6 UNIDADES</t>
  </si>
  <si>
    <t>MP 4054/MP 4055/5054/5055/6054/6055/IM 4000/5000/6000</t>
  </si>
  <si>
    <t>Print Cartridge MP 6054</t>
  </si>
  <si>
    <t>IM 2510-IM 3510</t>
  </si>
  <si>
    <t>Print Cartridge BK IM 3510</t>
  </si>
  <si>
    <t>IM 4510-IM 6010-IM 7010</t>
  </si>
  <si>
    <t>PRINT CARTRIDGE IM 6010</t>
  </si>
  <si>
    <t>SP-3710SF - SP-3710DN /     M 320F / P-311 220V</t>
  </si>
  <si>
    <t>PRINT CARTRIDGE SP 3710</t>
  </si>
  <si>
    <t>PRO 8300/8310/8320</t>
  </si>
  <si>
    <t>PRO TONER 8300s</t>
  </si>
  <si>
    <t>PRO 8400/8410/8420</t>
  </si>
  <si>
    <t>PRO TONER 8400S</t>
  </si>
  <si>
    <t>MP W2400/MP W3600/MP W3601/MP W6700</t>
  </si>
  <si>
    <t>RICOH BLACK TONER TYPE  1160W</t>
  </si>
  <si>
    <t>RICOH STAPLE TYPE M FOR SR5000 (1 SOLO CARTUCHO)</t>
  </si>
  <si>
    <t>RECARGAS DE GRAPAS TIPO M(CAJA DE 5 ROLLOS)  SR 5050/ SR 5060</t>
  </si>
  <si>
    <t>Staple Type X for SR5110/SR5120 (5K) 1 SOLO CARTUCHO</t>
  </si>
  <si>
    <t>REFILL STAPLE TYPE X  CAJA X 5 ROLLOS)</t>
  </si>
  <si>
    <t>REFILL STAPLE TYPE V   Finisher  5130 SR5090  SR4150/SR4160/4120 (caja x 3 rollos)</t>
  </si>
  <si>
    <t>STAPLE TYPE V FOR SR4090/  SR4150/SR4160 (CAJA 1 ROLLO)</t>
  </si>
  <si>
    <t>RICOH STAPLE TYPE H  SR 4080(CAJA X 1 ROLLO)</t>
  </si>
  <si>
    <t>RICOH REFILL STAPLE TYPE H SR 4080 (CAJA X 5 ROLLOS)</t>
  </si>
  <si>
    <t>STAPLE TYPE U FOR SR5020   SR 5120 CAJA 1 SOLO CARTUCHO</t>
  </si>
  <si>
    <t>STAPLE TYPE T CAJA X 1 ROLLO )</t>
  </si>
  <si>
    <t>REFILL STAPLE TYPE T     (CAJA X DOS ROLLOS)</t>
  </si>
  <si>
    <t>RICOH STAPLE REFIL TYPE K- (CAJA X 3 ROLLOS)</t>
  </si>
  <si>
    <t>RICOH STAPLE CARTRIDGE T.K -(CAJA 1 ROLLO)</t>
  </si>
  <si>
    <t>Observacion</t>
  </si>
  <si>
    <t>MP C306</t>
  </si>
  <si>
    <t>Print Cartridge BK MP C406</t>
  </si>
  <si>
    <t>MP C307</t>
  </si>
  <si>
    <t>Print Cartridge CY MP C406</t>
  </si>
  <si>
    <t>MP C406</t>
  </si>
  <si>
    <t>Print Cartridge MG MP C406</t>
  </si>
  <si>
    <t>MP C407</t>
  </si>
  <si>
    <t>Print Cartridge YW MP C406</t>
  </si>
  <si>
    <t>MP C2003</t>
  </si>
  <si>
    <t>Print Cartridge BK MPC 2503</t>
  </si>
  <si>
    <t>MP C2503</t>
  </si>
  <si>
    <t>Print Cartridge YW MPC 2503H</t>
  </si>
  <si>
    <t>MP C2004</t>
  </si>
  <si>
    <t>Print Cartridge MG MPC2503H</t>
  </si>
  <si>
    <t>MP C2504</t>
  </si>
  <si>
    <t>Print Cartridge CY MPC 2503H</t>
  </si>
  <si>
    <t>MP C3003</t>
  </si>
  <si>
    <t>PRINT CARTRIDGE BK MP C3503</t>
  </si>
  <si>
    <t>MP C3503</t>
  </si>
  <si>
    <t>PRINT CARTRIDGE YW MP C3503</t>
  </si>
  <si>
    <t>MP C3004</t>
  </si>
  <si>
    <t>PRINT CARTRIDGE MG MP C3503</t>
  </si>
  <si>
    <t>MP C3504</t>
  </si>
  <si>
    <t>PRINT CARTRIDGE CY MP C3503</t>
  </si>
  <si>
    <t>MP C4503</t>
  </si>
  <si>
    <t>PRINT CARTRIDGE BLACK MP C6003</t>
  </si>
  <si>
    <t>MP C4504</t>
  </si>
  <si>
    <t>PRINT CARTRIDGE YW MPC6003</t>
  </si>
  <si>
    <t>MP C5503</t>
  </si>
  <si>
    <t>PRINT CARTRIDGE MG MPC6003</t>
  </si>
  <si>
    <t>MP C6004</t>
  </si>
  <si>
    <t>PRINT CARTRIDGE CY MPC6003</t>
  </si>
  <si>
    <t>P C600</t>
  </si>
  <si>
    <t>PRINT CARTRIDGE BK P-C600</t>
  </si>
  <si>
    <t>PRINT CARTRIDGE CY P-C600</t>
  </si>
  <si>
    <t>PRINT CARTRIDGE MG P-C600</t>
  </si>
  <si>
    <t>PRINT CARTRIDGE YW P-C600</t>
  </si>
  <si>
    <t>IM C300F</t>
  </si>
  <si>
    <t>PRINT CARTRIDGE BLACK IM C300</t>
  </si>
  <si>
    <t>PRINT CARTRIDGE CYAN IM C300</t>
  </si>
  <si>
    <t>PRINT CARTRIDGE MAGENTA IM C300</t>
  </si>
  <si>
    <t>PRINT CARTRIDGE YELLOW IM C300</t>
  </si>
  <si>
    <t>IM C320F</t>
  </si>
  <si>
    <t>PRINT CARTRIDGE BLACK IMC320</t>
  </si>
  <si>
    <t>PRINT CARTRIDGE CYAN IM C320</t>
  </si>
  <si>
    <t>PRINT CARTRIDGE MAGENTA</t>
  </si>
  <si>
    <t>PRINT CARTRIDGE YELLOW IMC320</t>
  </si>
  <si>
    <t>IM C400F</t>
  </si>
  <si>
    <t>Print Cartridge Black IM C400 (17.5K)</t>
  </si>
  <si>
    <t>842371</t>
  </si>
  <si>
    <t>Print Cartridge Cyan IM C400 (8K)</t>
  </si>
  <si>
    <t>842372</t>
  </si>
  <si>
    <t>Print Cartridge Magenta IM C400 (8K)</t>
  </si>
  <si>
    <t>842373</t>
  </si>
  <si>
    <t>Print Cartridge Yellow IM C400 (8K)</t>
  </si>
  <si>
    <t>IM C401</t>
  </si>
  <si>
    <t>PRINT CARTRIDGE BLACK IM C401</t>
  </si>
  <si>
    <t>PRINT CARTRIDGE CYAN IM C401</t>
  </si>
  <si>
    <t>PRINT CARTRIDGE MAGENTA IMC401</t>
  </si>
  <si>
    <t>PRINT CARTRIDGE YELLOW IM C401</t>
  </si>
  <si>
    <t>IM C3000/                    IM C3500</t>
  </si>
  <si>
    <t>PRINT CART BK  IM-C3000 IM-C3500</t>
  </si>
  <si>
    <t>PRINT CART YW IM-C3000 IM-C3500</t>
  </si>
  <si>
    <t>PRINT CART MG IM-C3000 IM-C3500</t>
  </si>
  <si>
    <t>PRINT CART CY IM-C3000 IM-C3500</t>
  </si>
  <si>
    <t>IM C4500 / IM C6000</t>
  </si>
  <si>
    <t>PRINT CART BK  IM-C4500 IM-C6000</t>
  </si>
  <si>
    <t>PRINT CART YW IM-C4500 IM-C6000</t>
  </si>
  <si>
    <t>PRINT CART MG IM-C4500 IM-C6000</t>
  </si>
  <si>
    <t>PRINT CART CY IM-C4500 IM-C6000</t>
  </si>
  <si>
    <t>IM-C2500 /IM C2000</t>
  </si>
  <si>
    <t>PRINT CART BK IM-C2000 IM-C2500</t>
  </si>
  <si>
    <t>PRINT CART YW IM-C2000 IM-C250</t>
  </si>
  <si>
    <t>PRINT CART MG IM-C2000 IM-C2500</t>
  </si>
  <si>
    <t>PRINT CART CY IM-C2000 IM-C2500</t>
  </si>
  <si>
    <t>M C250FW/     M C251/     P-C311W</t>
  </si>
  <si>
    <t>PRINT CARTRIDGE BLACK M C250H</t>
  </si>
  <si>
    <t>PRINT CARTRIDGE CYAN M C250H</t>
  </si>
  <si>
    <t>PRINT CARTRIDGE MAGENTA MC250H</t>
  </si>
  <si>
    <t>PRINT CARTRIDGE YELLOW M C250H</t>
  </si>
  <si>
    <t>WASTE TONER BOTTLE</t>
  </si>
  <si>
    <t>M0CS4013</t>
  </si>
  <si>
    <t>220v FUSING UNIT</t>
  </si>
  <si>
    <t>M0CS6000</t>
  </si>
  <si>
    <t>INTERMEDIATE TRANSFER SECTION ASSY</t>
  </si>
  <si>
    <t>M0CS6202</t>
  </si>
  <si>
    <t>TRANSFER ROLLER SUB ASSY</t>
  </si>
  <si>
    <t>M C320</t>
  </si>
  <si>
    <t>PRINT CARTRIDGE BLACK M C320H</t>
  </si>
  <si>
    <t>PRINT CARTRIDGE CYAN M C320H</t>
  </si>
  <si>
    <t>PRINT CARTRIDGE MAGENTA MC320H</t>
  </si>
  <si>
    <t>PRINT CARTRIDGE YELLOW MC320H</t>
  </si>
  <si>
    <t>IM C2010/ IM C2510</t>
  </si>
  <si>
    <t>Print Cartridge BK IM C2510H</t>
  </si>
  <si>
    <t>Print Cartridge YW IM C2510H</t>
  </si>
  <si>
    <t>Print Cartridge MG IM C2510H</t>
  </si>
  <si>
    <t>Print Cartridge CY IM C2510H</t>
  </si>
  <si>
    <t>IM C3010</t>
  </si>
  <si>
    <t>Print Cartridge Black IM C3510</t>
  </si>
  <si>
    <t>Print Cartridge Yellow IM C3510</t>
  </si>
  <si>
    <t>Print Cartridge Magenta IM C3510</t>
  </si>
  <si>
    <t>Print Cartridge Cyan IM C3510</t>
  </si>
  <si>
    <t>IM C4510 / IM C6010</t>
  </si>
  <si>
    <t>Print Cartridge BK IM C6010</t>
  </si>
  <si>
    <t>Print Cartridge YW IM C6010</t>
  </si>
  <si>
    <t>Print Cartridge MG IM C6010</t>
  </si>
  <si>
    <t>Print Cartridge CY IM C6010</t>
  </si>
  <si>
    <t xml:space="preserve">SP C840DN/                SP C842DN </t>
  </si>
  <si>
    <t>PRINT CARTRIDGE BLACK SPC840A</t>
  </si>
  <si>
    <t>PRINT CARTRIDGE YELLOW SPC840A</t>
  </si>
  <si>
    <t>PRINT CARTRIDGE MAGENTA SPC840A</t>
  </si>
  <si>
    <t>PRINT CARTRIDGE CYAN SPC840A</t>
  </si>
  <si>
    <t xml:space="preserve">PRO C5200/            PRO C5210       </t>
  </si>
  <si>
    <t>Pro Print Cartridge BK C5200</t>
  </si>
  <si>
    <t>Pro Print Cartridge YW C5200</t>
  </si>
  <si>
    <t>Pro Print Cartridge MG C5200</t>
  </si>
  <si>
    <t>Pro Print Cartridge CY C5200</t>
  </si>
  <si>
    <t>PRO C5300</t>
  </si>
  <si>
    <t>Print Cartridge Black Pro C5300</t>
  </si>
  <si>
    <t>Print Cartridge Yellow Pro C5300</t>
  </si>
  <si>
    <t>Print Cartridge Magenta Pro C5300</t>
  </si>
  <si>
    <t>Print Cartridge Cyan Pro C5300</t>
  </si>
  <si>
    <t>PRO C5400</t>
  </si>
  <si>
    <t>Print Cartridge BK Pro-C5400</t>
  </si>
  <si>
    <t>Print Cartridge YW Pro-C5400</t>
  </si>
  <si>
    <t>Print Cartridge MG Pro-C5400</t>
  </si>
  <si>
    <t>Print Cartridge CY Pro-C5400</t>
  </si>
  <si>
    <t xml:space="preserve">PRO C7200/           PRO C7210    </t>
  </si>
  <si>
    <t>PRO PRINT CARTRIDGE BLACK C7200X</t>
  </si>
  <si>
    <t>PRO PRINT CARTRIDGE YELLOW C7200X</t>
  </si>
  <si>
    <t>PRO PRINT CARTRIDGE MAGENTA C7200X</t>
  </si>
  <si>
    <t>PRO PRINT CARTRIDGE CYAN C7200X</t>
  </si>
  <si>
    <t>Pro Print Cartridge White C7200</t>
  </si>
  <si>
    <t>Pro Print Cartridge Clear C7200</t>
  </si>
  <si>
    <t>Neon Yellow Toner Type C7200</t>
  </si>
  <si>
    <t>Neon Pink Toner Type C7200</t>
  </si>
  <si>
    <t>Invisible RED Toner Type C7200</t>
  </si>
  <si>
    <t>PRO C7500</t>
  </si>
  <si>
    <t>PRO-C7500 PRINT CART BK</t>
  </si>
  <si>
    <t>PRO-C7500 PRINT CART YW</t>
  </si>
  <si>
    <t>PRO-C7500 PRINT CART MG</t>
  </si>
  <si>
    <t>PRO-C7500 PRINT CART CY</t>
  </si>
  <si>
    <t>PRO PRINT CART CLEAR C7100</t>
  </si>
  <si>
    <t>PRO PRINT CART WHITE C7100</t>
  </si>
  <si>
    <t>PRO PRINT CART NEON YELLOW C7100</t>
  </si>
  <si>
    <t>PRO PRINT CART NEON PINK C7100</t>
  </si>
  <si>
    <t>PRO PRINT CART INVISIBLE RED C7100</t>
  </si>
  <si>
    <t>PRO PRINT CART GOLD C7200</t>
  </si>
  <si>
    <t>PRO PRINT CART SILVER C7200</t>
  </si>
  <si>
    <t>PRO C9500</t>
  </si>
  <si>
    <t>PRO C9500 PRINT CARTRIDGE BLACK</t>
  </si>
  <si>
    <t>PRO C9500 PRINT CARTRIDGE YELLOW</t>
  </si>
  <si>
    <t>PRO C9500 PRINT CARTRIDGE MAGENTA</t>
  </si>
  <si>
    <t>PRO C9500 PRINT CARTRIDGE CYAN</t>
  </si>
  <si>
    <t xml:space="preserve">MPCW 2200/            MP CW220 IM CW2200 IIPCW2200    </t>
  </si>
  <si>
    <t>255  mt2</t>
  </si>
  <si>
    <t>PRINT CARTRIDGE BLACK MPCW2200</t>
  </si>
  <si>
    <t>337  mt2</t>
  </si>
  <si>
    <t>PRINT CARTRIDGE CYAN MPCW2200</t>
  </si>
  <si>
    <t>PRINT CRTRDGE MAGENTA MPCW2200</t>
  </si>
  <si>
    <t>PRINT CRTRDGE YELLOW MPCW2200</t>
  </si>
  <si>
    <t>D2622011</t>
  </si>
  <si>
    <t>[XREF TO D2622042]HEAD UNIT BLACK</t>
  </si>
  <si>
    <t>D2622112/ D2622113</t>
  </si>
  <si>
    <t>HEAD: UNIT: COLOR                          m2 YIELD</t>
  </si>
  <si>
    <t>D0CW3504</t>
  </si>
  <si>
    <t>Maintenance Unit                            m2 YIELD</t>
  </si>
  <si>
    <t>D6706413</t>
  </si>
  <si>
    <t>Ink Collection Tank                         m2 YIELD</t>
  </si>
  <si>
    <t>RI 1000      RI 2000</t>
  </si>
  <si>
    <t>GARMENT INK CART -BK- Ri 1000 TYPE G1</t>
  </si>
  <si>
    <t>GARMENT INK CART -CY- Ri 1000 TYPE G1</t>
  </si>
  <si>
    <t>GARMENT INK CART -MG- Ri 1000 TYPE G1</t>
  </si>
  <si>
    <t>GARMENT INK CART -YW- Ri 1000 TYPE G1</t>
  </si>
  <si>
    <t>GARMENT INK CART -WH1- Ri 1000 TYPE G1</t>
  </si>
  <si>
    <t>GARMENT INK CART -WH2- Ri 1000 TYPE G1</t>
  </si>
  <si>
    <t>CLEANING CART TYPE -BK- G1</t>
  </si>
  <si>
    <t>CLEANING CART TYPE -CY- G1</t>
  </si>
  <si>
    <t>CLEANING CART TYPE -MG- G1</t>
  </si>
  <si>
    <t>CLEANING CART TYPE -YW- G1</t>
  </si>
  <si>
    <t>CLEANING CART TYPE -WH1- G1</t>
  </si>
  <si>
    <t>CLEANING CART TYPE -WH2- G1</t>
  </si>
  <si>
    <t>SILVER FOIL (12 1/2" wide x 200 ft)</t>
  </si>
  <si>
    <t>GOLD FOIL (12 1/2" wide x 200 ft)</t>
  </si>
  <si>
    <t>BLUE FOIL (12 1/2" wide x 200 ft)</t>
  </si>
  <si>
    <t>GREEN FOIL (12 1/2" wide x 200 ft)</t>
  </si>
  <si>
    <t>RED FOIL (12 1/2" wide x 200 ft)</t>
  </si>
  <si>
    <t>PowerBright Pre-treatment Liquid ( 64 oz / 1.9L )</t>
  </si>
  <si>
    <t>PowerBright Pre-treatment Liquid ( 1 Gallon / 3.8L )</t>
  </si>
  <si>
    <t>Pre-treatment for Color Ink  ( 1 Gallon /  3.8L )</t>
  </si>
  <si>
    <t>Cleaning Liquid Type 1</t>
  </si>
  <si>
    <t>Cleaning applicator ( Mixed ) ( Pack of 50 )</t>
  </si>
  <si>
    <t>Cleaning applicator ( Marrow ) ( Pack of 50 )</t>
  </si>
  <si>
    <t>Cleaning applicator ( Wide ) ( Pack of 50 )</t>
  </si>
  <si>
    <t>Lint Free Wipes ( Pack of 30 )</t>
  </si>
  <si>
    <t>Heat Press Paper ( 50 Sheets )</t>
  </si>
  <si>
    <t>RICOH Waste Bottle Type G1</t>
  </si>
  <si>
    <t>RICOH Fan Filter Type G1</t>
  </si>
  <si>
    <t>RICOH Grease Type G1</t>
  </si>
  <si>
    <t xml:space="preserve">RICOH Cleaning Stick Type 1 </t>
  </si>
  <si>
    <t>Tecnico</t>
  </si>
  <si>
    <t>Mayorista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</si>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</sst>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540A]* #,##0.00_ ;_-[$$-540A]* \-#,##0.00\ ;_-[$$-540A]* &quot;-&quot;??_ ;_-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center"/>
    </xf>
    <xf numFmtId="164" fontId="0" fillId="3" borderId="0" xfId="0" applyNumberFormat="1" applyFill="1"/>
    <xf numFmtId="3" fontId="3" fillId="3" borderId="3" xfId="0" applyNumberFormat="1" applyFont="1" applyFill="1" applyBorder="1" applyAlignment="1">
      <alignment horizontal="center"/>
    </xf>
    <xf numFmtId="0" fontId="5" fillId="0" borderId="4" xfId="0" applyFont="1" applyBorder="1"/>
    <xf numFmtId="165" fontId="0" fillId="3" borderId="0" xfId="0" applyNumberFormat="1" applyFill="1"/>
    <xf numFmtId="0" fontId="3" fillId="3" borderId="3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7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 vertical="center"/>
    </xf>
    <xf numFmtId="0" fontId="0" fillId="3" borderId="3" xfId="0" applyFill="1" applyBorder="1"/>
    <xf numFmtId="0" fontId="7" fillId="3" borderId="3" xfId="0" applyFont="1" applyFill="1" applyBorder="1" applyAlignment="1">
      <alignment horizontal="left" vertical="center"/>
    </xf>
    <xf numFmtId="3" fontId="7" fillId="3" borderId="3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10" fontId="9" fillId="2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7" fillId="0" borderId="4" xfId="0" applyFont="1" applyBorder="1"/>
    <xf numFmtId="0" fontId="5" fillId="3" borderId="8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center"/>
    </xf>
    <xf numFmtId="0" fontId="7" fillId="3" borderId="3" xfId="0" applyFont="1" applyFill="1" applyBorder="1"/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center"/>
    </xf>
    <xf numFmtId="3" fontId="7" fillId="3" borderId="10" xfId="0" applyNumberFormat="1" applyFont="1" applyFill="1" applyBorder="1" applyAlignment="1">
      <alignment horizontal="center"/>
    </xf>
    <xf numFmtId="0" fontId="7" fillId="3" borderId="10" xfId="0" applyFont="1" applyFill="1" applyBorder="1"/>
    <xf numFmtId="0" fontId="5" fillId="3" borderId="7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/>
    </xf>
    <xf numFmtId="3" fontId="7" fillId="3" borderId="4" xfId="0" applyNumberFormat="1" applyFont="1" applyFill="1" applyBorder="1" applyAlignment="1">
      <alignment horizontal="center"/>
    </xf>
    <xf numFmtId="0" fontId="7" fillId="3" borderId="4" xfId="0" applyFont="1" applyFill="1" applyBorder="1"/>
    <xf numFmtId="0" fontId="5" fillId="3" borderId="8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/>
    </xf>
    <xf numFmtId="3" fontId="7" fillId="3" borderId="12" xfId="0" applyNumberFormat="1" applyFont="1" applyFill="1" applyBorder="1" applyAlignment="1">
      <alignment horizontal="center"/>
    </xf>
    <xf numFmtId="0" fontId="7" fillId="3" borderId="12" xfId="0" applyFont="1" applyFill="1" applyBorder="1"/>
    <xf numFmtId="0" fontId="5" fillId="0" borderId="13" xfId="0" applyFont="1" applyBorder="1"/>
    <xf numFmtId="0" fontId="5" fillId="3" borderId="11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center"/>
    </xf>
    <xf numFmtId="3" fontId="7" fillId="3" borderId="15" xfId="0" applyNumberFormat="1" applyFont="1" applyFill="1" applyBorder="1" applyAlignment="1">
      <alignment horizontal="center"/>
    </xf>
    <xf numFmtId="3" fontId="7" fillId="3" borderId="15" xfId="0" applyNumberFormat="1" applyFont="1" applyFill="1" applyBorder="1" applyAlignment="1">
      <alignment horizontal="left"/>
    </xf>
    <xf numFmtId="3" fontId="7" fillId="3" borderId="3" xfId="0" applyNumberFormat="1" applyFont="1" applyFill="1" applyBorder="1" applyAlignment="1">
      <alignment horizontal="left"/>
    </xf>
    <xf numFmtId="3" fontId="7" fillId="3" borderId="12" xfId="0" applyNumberFormat="1" applyFont="1" applyFill="1" applyBorder="1" applyAlignment="1">
      <alignment horizontal="left"/>
    </xf>
    <xf numFmtId="3" fontId="7" fillId="3" borderId="4" xfId="0" applyNumberFormat="1" applyFont="1" applyFill="1" applyBorder="1" applyAlignment="1">
      <alignment horizontal="left"/>
    </xf>
    <xf numFmtId="49" fontId="10" fillId="5" borderId="4" xfId="0" applyNumberFormat="1" applyFont="1" applyFill="1" applyBorder="1" applyAlignment="1">
      <alignment horizontal="left" vertical="center"/>
    </xf>
    <xf numFmtId="49" fontId="10" fillId="5" borderId="3" xfId="0" applyNumberFormat="1" applyFont="1" applyFill="1" applyBorder="1" applyAlignment="1">
      <alignment horizontal="left" vertical="center"/>
    </xf>
    <xf numFmtId="49" fontId="10" fillId="5" borderId="12" xfId="0" applyNumberFormat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3" fontId="7" fillId="3" borderId="4" xfId="0" applyNumberFormat="1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center" vertical="center" wrapText="1"/>
    </xf>
    <xf numFmtId="3" fontId="7" fillId="3" borderId="12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3" fontId="7" fillId="3" borderId="10" xfId="0" applyNumberFormat="1" applyFont="1" applyFill="1" applyBorder="1" applyAlignment="1">
      <alignment horizontal="center" vertical="center"/>
    </xf>
    <xf numFmtId="3" fontId="7" fillId="3" borderId="10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3" fontId="7" fillId="3" borderId="15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3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3" fontId="10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vertical="center"/>
    </xf>
    <xf numFmtId="3" fontId="10" fillId="3" borderId="12" xfId="0" applyNumberFormat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 wrapText="1"/>
    </xf>
    <xf numFmtId="0" fontId="1" fillId="0" borderId="0" xfId="0" applyFont="1"/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8644-C77E-4E10-846A-5590B04714E7}">
  <sheetPr>
    <tabColor theme="5" tint="0.39997558519241921"/>
    <pageSetUpPr fitToPage="1"/>
  </sheetPr>
  <dimension ref="A1:K187"/>
  <sheetViews>
    <sheetView tabSelected="1" zoomScale="110" zoomScaleNormal="110" workbookViewId="0">
      <pane ySplit="1" topLeftCell="A2" activePane="bottomLeft" state="frozen"/>
      <selection activeCell="E36" sqref="E36:I37"/>
      <selection pane="bottomLeft" activeCell="E1" sqref="E1:I1"/>
    </sheetView>
  </sheetViews>
  <sheetFormatPr baseColWidth="10" defaultRowHeight="15" x14ac:dyDescent="0.25"/>
  <cols>
    <col min="1" max="1" width="25.5703125" customWidth="1"/>
    <col min="2" max="2" width="11.140625" customWidth="1"/>
    <col min="3" max="3" width="10.42578125" customWidth="1"/>
    <col min="4" max="4" width="46.42578125" customWidth="1"/>
    <col min="5" max="9" width="12.5703125" style="99" bestFit="1" customWidth="1"/>
    <col min="10" max="10" width="73.28515625" bestFit="1" customWidth="1"/>
  </cols>
  <sheetData>
    <row r="1" spans="1:11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261</v>
      </c>
      <c r="G1" s="2" t="s">
        <v>262</v>
      </c>
      <c r="H1" s="2" t="s">
        <v>5</v>
      </c>
      <c r="I1" s="2" t="s">
        <v>263</v>
      </c>
    </row>
    <row r="2" spans="1:11" s="9" customFormat="1" x14ac:dyDescent="0.25">
      <c r="A2" s="4" t="s">
        <v>6</v>
      </c>
      <c r="B2" s="5">
        <v>841332</v>
      </c>
      <c r="C2" s="6">
        <v>43000</v>
      </c>
      <c r="D2" s="7" t="s">
        <v>7</v>
      </c>
      <c r="E2" s="8">
        <v>82.422999999999988</v>
      </c>
      <c r="F2" s="8">
        <f>E2/1.1</f>
        <v>74.929999999999978</v>
      </c>
      <c r="G2" s="8">
        <f>F2/1.06</f>
        <v>70.688679245282998</v>
      </c>
      <c r="H2" s="8">
        <v>61.322711999999989</v>
      </c>
      <c r="I2" s="8">
        <v>0</v>
      </c>
    </row>
    <row r="3" spans="1:11" s="10" customFormat="1" x14ac:dyDescent="0.25">
      <c r="A3" s="7" t="s">
        <v>8</v>
      </c>
      <c r="B3" s="5">
        <v>842141</v>
      </c>
      <c r="C3" s="6">
        <v>9000</v>
      </c>
      <c r="D3" s="7" t="s">
        <v>9</v>
      </c>
      <c r="E3" s="8">
        <v>45.677799999999998</v>
      </c>
      <c r="F3" s="8">
        <f t="shared" ref="F3:F66" si="0">E3/1.1</f>
        <v>41.525272727272721</v>
      </c>
      <c r="G3" s="8">
        <f t="shared" ref="G3:G66" si="1">F3/1.06</f>
        <v>39.174785591766714</v>
      </c>
      <c r="H3" s="8">
        <v>33.9842832</v>
      </c>
      <c r="I3" s="8">
        <v>0</v>
      </c>
    </row>
    <row r="4" spans="1:11" s="10" customFormat="1" x14ac:dyDescent="0.25">
      <c r="A4" s="7" t="s">
        <v>10</v>
      </c>
      <c r="B4" s="11">
        <v>419078</v>
      </c>
      <c r="C4" s="6">
        <v>14500</v>
      </c>
      <c r="D4" s="7" t="s">
        <v>11</v>
      </c>
      <c r="E4" s="8">
        <v>64.380799999999994</v>
      </c>
      <c r="F4" s="8">
        <f t="shared" si="0"/>
        <v>58.527999999999992</v>
      </c>
      <c r="G4" s="8">
        <f t="shared" si="1"/>
        <v>55.215094339622631</v>
      </c>
      <c r="H4" s="8">
        <v>47.899315200000004</v>
      </c>
      <c r="I4" s="8">
        <v>0</v>
      </c>
    </row>
    <row r="5" spans="1:11" s="10" customFormat="1" x14ac:dyDescent="0.25">
      <c r="A5" s="7" t="s">
        <v>12</v>
      </c>
      <c r="B5" s="5">
        <v>842616</v>
      </c>
      <c r="C5" s="6">
        <v>22000</v>
      </c>
      <c r="D5" s="7" t="s">
        <v>13</v>
      </c>
      <c r="E5" s="8">
        <v>57.595799999999997</v>
      </c>
      <c r="F5" s="8">
        <f t="shared" si="0"/>
        <v>52.359818181818177</v>
      </c>
      <c r="G5" s="8">
        <f t="shared" si="1"/>
        <v>49.396054888507713</v>
      </c>
      <c r="H5" s="8">
        <v>42.851275199999996</v>
      </c>
      <c r="I5" s="8">
        <v>0</v>
      </c>
    </row>
    <row r="6" spans="1:11" s="10" customFormat="1" ht="20.45" customHeight="1" x14ac:dyDescent="0.25">
      <c r="A6" s="7" t="s">
        <v>14</v>
      </c>
      <c r="B6" s="5">
        <v>418477</v>
      </c>
      <c r="C6" s="6">
        <v>25500</v>
      </c>
      <c r="D6" s="7" t="s">
        <v>15</v>
      </c>
      <c r="E6" s="8">
        <v>149.30539999999999</v>
      </c>
      <c r="F6" s="8">
        <f t="shared" si="0"/>
        <v>135.7321818181818</v>
      </c>
      <c r="G6" s="8">
        <f t="shared" si="1"/>
        <v>128.04922813036018</v>
      </c>
      <c r="H6" s="8">
        <v>111.08321759999998</v>
      </c>
      <c r="I6" s="8">
        <v>0</v>
      </c>
    </row>
    <row r="7" spans="1:11" s="10" customFormat="1" x14ac:dyDescent="0.25">
      <c r="A7" s="7" t="s">
        <v>16</v>
      </c>
      <c r="B7" s="5">
        <v>418480</v>
      </c>
      <c r="C7" s="6">
        <v>40000</v>
      </c>
      <c r="D7" s="7" t="s">
        <v>17</v>
      </c>
      <c r="E7" s="8">
        <v>200.9186</v>
      </c>
      <c r="F7" s="8">
        <f t="shared" si="0"/>
        <v>182.65327272727271</v>
      </c>
      <c r="G7" s="8">
        <f t="shared" si="1"/>
        <v>172.31440823327614</v>
      </c>
      <c r="H7" s="8">
        <v>149.48343839999998</v>
      </c>
      <c r="I7" s="8">
        <v>0</v>
      </c>
    </row>
    <row r="8" spans="1:11" s="10" customFormat="1" x14ac:dyDescent="0.25">
      <c r="A8" s="7" t="s">
        <v>18</v>
      </c>
      <c r="B8" s="5" t="s">
        <v>19</v>
      </c>
      <c r="C8" s="6">
        <v>20000</v>
      </c>
      <c r="D8" s="7" t="s">
        <v>20</v>
      </c>
      <c r="E8" s="8">
        <v>193.13059999999999</v>
      </c>
      <c r="F8" s="8">
        <f t="shared" si="0"/>
        <v>175.57327272727269</v>
      </c>
      <c r="G8" s="8">
        <f t="shared" si="1"/>
        <v>165.63516295025724</v>
      </c>
      <c r="H8" s="8">
        <v>143.68916639999998</v>
      </c>
      <c r="I8" s="8">
        <v>0</v>
      </c>
    </row>
    <row r="9" spans="1:11" s="10" customFormat="1" x14ac:dyDescent="0.25">
      <c r="A9" s="7" t="s">
        <v>18</v>
      </c>
      <c r="B9" s="5" t="s">
        <v>21</v>
      </c>
      <c r="C9" s="6">
        <v>40000</v>
      </c>
      <c r="D9" s="7" t="s">
        <v>22</v>
      </c>
      <c r="E9" s="8">
        <v>54.633999999999993</v>
      </c>
      <c r="F9" s="8">
        <f t="shared" si="0"/>
        <v>49.667272727272717</v>
      </c>
      <c r="G9" s="8">
        <f t="shared" si="1"/>
        <v>46.855917667238408</v>
      </c>
      <c r="H9" s="8">
        <v>40.647695999999989</v>
      </c>
      <c r="I9" s="8">
        <v>0</v>
      </c>
    </row>
    <row r="10" spans="1:11" s="10" customFormat="1" x14ac:dyDescent="0.25">
      <c r="A10" s="7" t="s">
        <v>23</v>
      </c>
      <c r="B10" s="5" t="s">
        <v>24</v>
      </c>
      <c r="C10" s="6">
        <v>31000</v>
      </c>
      <c r="D10" s="7" t="s">
        <v>25</v>
      </c>
      <c r="E10" s="8">
        <v>178.90665804291581</v>
      </c>
      <c r="F10" s="8">
        <f t="shared" si="0"/>
        <v>162.64241640265072</v>
      </c>
      <c r="G10" s="8">
        <f t="shared" si="1"/>
        <v>153.43624188929311</v>
      </c>
      <c r="H10" s="8">
        <v>133.10655358392938</v>
      </c>
      <c r="I10" s="8">
        <v>0</v>
      </c>
    </row>
    <row r="11" spans="1:11" s="10" customFormat="1" x14ac:dyDescent="0.25">
      <c r="A11" s="7" t="s">
        <v>23</v>
      </c>
      <c r="B11" s="5" t="s">
        <v>26</v>
      </c>
      <c r="C11" s="6">
        <v>75000</v>
      </c>
      <c r="D11" s="7" t="s">
        <v>27</v>
      </c>
      <c r="E11" s="8">
        <v>93.08798421738031</v>
      </c>
      <c r="F11" s="8">
        <f t="shared" si="0"/>
        <v>84.62544019761846</v>
      </c>
      <c r="G11" s="8">
        <f t="shared" si="1"/>
        <v>79.83532094114949</v>
      </c>
      <c r="H11" s="8">
        <v>69.257460257730941</v>
      </c>
      <c r="I11" s="8">
        <v>0</v>
      </c>
    </row>
    <row r="12" spans="1:11" s="9" customFormat="1" ht="15.75" thickBot="1" x14ac:dyDescent="0.3">
      <c r="A12" s="7" t="s">
        <v>28</v>
      </c>
      <c r="B12" s="5">
        <v>842124</v>
      </c>
      <c r="C12" s="12">
        <v>24000</v>
      </c>
      <c r="D12" s="13" t="s">
        <v>29</v>
      </c>
      <c r="E12" s="8">
        <v>88.9602</v>
      </c>
      <c r="F12" s="8">
        <f t="shared" si="0"/>
        <v>80.87290909090909</v>
      </c>
      <c r="G12" s="8">
        <f t="shared" si="1"/>
        <v>76.295197255574607</v>
      </c>
      <c r="H12" s="8">
        <v>66.186388799999989</v>
      </c>
      <c r="I12" s="8">
        <v>0</v>
      </c>
      <c r="J12" s="14"/>
      <c r="K12" s="14"/>
    </row>
    <row r="13" spans="1:11" s="9" customFormat="1" x14ac:dyDescent="0.25">
      <c r="A13" s="7" t="s">
        <v>30</v>
      </c>
      <c r="B13" s="5">
        <v>407823</v>
      </c>
      <c r="C13" s="15">
        <v>20000</v>
      </c>
      <c r="D13" s="7" t="s">
        <v>31</v>
      </c>
      <c r="E13" s="8">
        <v>162.23820000000001</v>
      </c>
      <c r="F13" s="8">
        <f t="shared" si="0"/>
        <v>147.48927272727272</v>
      </c>
      <c r="G13" s="8">
        <f t="shared" si="1"/>
        <v>139.14082332761578</v>
      </c>
      <c r="H13" s="8">
        <v>120.70522080000001</v>
      </c>
      <c r="I13" s="8">
        <v>106.19999999999999</v>
      </c>
      <c r="J13" s="16" t="s">
        <v>32</v>
      </c>
    </row>
    <row r="14" spans="1:11" s="9" customFormat="1" x14ac:dyDescent="0.25">
      <c r="A14" s="7" t="s">
        <v>33</v>
      </c>
      <c r="B14" s="5">
        <v>842126</v>
      </c>
      <c r="C14" s="15">
        <v>37000</v>
      </c>
      <c r="D14" s="7" t="s">
        <v>34</v>
      </c>
      <c r="E14" s="8">
        <v>99.296999999999997</v>
      </c>
      <c r="F14" s="8">
        <f t="shared" si="0"/>
        <v>90.27</v>
      </c>
      <c r="G14" s="8">
        <f t="shared" si="1"/>
        <v>85.160377358490564</v>
      </c>
      <c r="H14" s="8">
        <v>73.876968000000005</v>
      </c>
      <c r="I14" s="8">
        <v>0</v>
      </c>
      <c r="J14" s="14"/>
    </row>
    <row r="15" spans="1:11" s="9" customFormat="1" x14ac:dyDescent="0.25">
      <c r="A15" s="7" t="s">
        <v>35</v>
      </c>
      <c r="B15" s="5">
        <v>842831</v>
      </c>
      <c r="C15" s="15">
        <v>30100</v>
      </c>
      <c r="D15" s="7" t="s">
        <v>36</v>
      </c>
      <c r="E15" s="8">
        <v>78.422799999999995</v>
      </c>
      <c r="F15" s="8">
        <f t="shared" si="0"/>
        <v>71.293454545454537</v>
      </c>
      <c r="G15" s="8">
        <f t="shared" si="1"/>
        <v>67.257975986277856</v>
      </c>
      <c r="H15" s="8">
        <v>58.350999999999999</v>
      </c>
      <c r="I15" s="8">
        <v>0</v>
      </c>
    </row>
    <row r="16" spans="1:11" s="9" customFormat="1" x14ac:dyDescent="0.25">
      <c r="A16" s="7" t="s">
        <v>37</v>
      </c>
      <c r="B16" s="5">
        <v>842832</v>
      </c>
      <c r="C16" s="15">
        <v>42900</v>
      </c>
      <c r="D16" s="7" t="s">
        <v>38</v>
      </c>
      <c r="E16" s="8">
        <v>104.19399999999999</v>
      </c>
      <c r="F16" s="8">
        <f t="shared" si="0"/>
        <v>94.721818181818165</v>
      </c>
      <c r="G16" s="8">
        <f t="shared" si="1"/>
        <v>89.360205831903926</v>
      </c>
      <c r="H16" s="8">
        <v>77.525999999999996</v>
      </c>
      <c r="I16" s="8">
        <v>0</v>
      </c>
      <c r="J16" s="17"/>
    </row>
    <row r="17" spans="1:11" s="10" customFormat="1" ht="25.5" x14ac:dyDescent="0.25">
      <c r="A17" s="18" t="s">
        <v>39</v>
      </c>
      <c r="B17" s="5">
        <v>408284</v>
      </c>
      <c r="C17" s="6">
        <v>5600</v>
      </c>
      <c r="D17" s="7" t="s">
        <v>40</v>
      </c>
      <c r="E17" s="8">
        <v>99.4268</v>
      </c>
      <c r="F17" s="8">
        <f t="shared" si="0"/>
        <v>90.387999999999991</v>
      </c>
      <c r="G17" s="8">
        <f t="shared" si="1"/>
        <v>85.271698113207535</v>
      </c>
      <c r="H17" s="8">
        <v>73.973539200000005</v>
      </c>
      <c r="I17" s="8">
        <v>0</v>
      </c>
    </row>
    <row r="18" spans="1:11" s="9" customFormat="1" x14ac:dyDescent="0.25">
      <c r="A18" s="4" t="s">
        <v>41</v>
      </c>
      <c r="B18" s="5">
        <v>828553</v>
      </c>
      <c r="C18" s="15">
        <v>82000</v>
      </c>
      <c r="D18" s="7" t="s">
        <v>42</v>
      </c>
      <c r="E18" s="8">
        <v>105.35363148683612</v>
      </c>
      <c r="F18" s="8">
        <f t="shared" si="0"/>
        <v>95.77602862439646</v>
      </c>
      <c r="G18" s="8">
        <f t="shared" si="1"/>
        <v>90.354743985279669</v>
      </c>
      <c r="H18" s="8">
        <v>78.383101826206072</v>
      </c>
      <c r="I18" s="8">
        <v>0</v>
      </c>
      <c r="J18" s="14"/>
      <c r="K18" s="14"/>
    </row>
    <row r="19" spans="1:11" s="9" customFormat="1" x14ac:dyDescent="0.25">
      <c r="A19" s="4" t="s">
        <v>43</v>
      </c>
      <c r="B19" s="5">
        <v>828711</v>
      </c>
      <c r="C19" s="15">
        <v>82000</v>
      </c>
      <c r="D19" s="7" t="s">
        <v>44</v>
      </c>
      <c r="E19" s="8">
        <v>105.3858</v>
      </c>
      <c r="F19" s="8">
        <f t="shared" si="0"/>
        <v>95.805272727272722</v>
      </c>
      <c r="G19" s="8">
        <f t="shared" si="1"/>
        <v>90.382332761578041</v>
      </c>
      <c r="H19" s="8">
        <v>78.407035199999996</v>
      </c>
      <c r="I19" s="8">
        <v>0</v>
      </c>
    </row>
    <row r="20" spans="1:11" s="9" customFormat="1" x14ac:dyDescent="0.25">
      <c r="A20" s="4" t="s">
        <v>45</v>
      </c>
      <c r="B20" s="5">
        <v>888029</v>
      </c>
      <c r="C20" s="15">
        <v>1430</v>
      </c>
      <c r="D20" s="7" t="s">
        <v>46</v>
      </c>
      <c r="E20" s="8">
        <v>222.62942000000001</v>
      </c>
      <c r="F20" s="8">
        <f t="shared" si="0"/>
        <v>202.39038181818182</v>
      </c>
      <c r="G20" s="8">
        <f t="shared" si="1"/>
        <v>190.93432246998285</v>
      </c>
      <c r="H20" s="8">
        <v>165.63628848000002</v>
      </c>
      <c r="I20" s="8">
        <v>0</v>
      </c>
    </row>
    <row r="21" spans="1:11" s="9" customFormat="1" x14ac:dyDescent="0.25">
      <c r="A21" s="19"/>
      <c r="B21" s="20"/>
      <c r="C21" s="21"/>
      <c r="D21" s="22"/>
      <c r="E21" s="8"/>
      <c r="F21" s="8"/>
      <c r="G21" s="8"/>
      <c r="H21" s="8"/>
      <c r="I21" s="8"/>
    </row>
    <row r="22" spans="1:11" x14ac:dyDescent="0.25">
      <c r="E22" s="8"/>
      <c r="F22" s="8"/>
      <c r="G22" s="8"/>
      <c r="H22" s="8"/>
      <c r="I22" s="8"/>
    </row>
    <row r="23" spans="1:11" x14ac:dyDescent="0.25">
      <c r="A23" s="23"/>
      <c r="B23" s="24">
        <v>413013</v>
      </c>
      <c r="C23" s="25"/>
      <c r="D23" s="26" t="s">
        <v>47</v>
      </c>
      <c r="E23" s="8">
        <v>135.36959999999999</v>
      </c>
      <c r="F23" s="8">
        <f t="shared" si="0"/>
        <v>123.0632727272727</v>
      </c>
      <c r="G23" s="8">
        <f t="shared" si="1"/>
        <v>116.09742710120065</v>
      </c>
      <c r="H23" s="8">
        <v>100.7149824</v>
      </c>
      <c r="I23" s="8">
        <v>0</v>
      </c>
    </row>
    <row r="24" spans="1:11" x14ac:dyDescent="0.25">
      <c r="A24" s="23"/>
      <c r="B24" s="24">
        <v>413026</v>
      </c>
      <c r="C24" s="27"/>
      <c r="D24" s="26" t="s">
        <v>48</v>
      </c>
      <c r="E24" s="8">
        <v>291.34199999999998</v>
      </c>
      <c r="F24" s="8">
        <f t="shared" si="0"/>
        <v>264.8563636363636</v>
      </c>
      <c r="G24" s="8">
        <f t="shared" si="1"/>
        <v>249.86449399656942</v>
      </c>
      <c r="H24" s="8">
        <v>216.75844799999999</v>
      </c>
      <c r="I24" s="8">
        <v>0</v>
      </c>
    </row>
    <row r="25" spans="1:11" x14ac:dyDescent="0.25">
      <c r="A25" s="23"/>
      <c r="B25" s="24">
        <v>409343</v>
      </c>
      <c r="C25" s="27"/>
      <c r="D25" s="26" t="s">
        <v>49</v>
      </c>
      <c r="E25" s="8">
        <v>135.69999999999999</v>
      </c>
      <c r="F25" s="8">
        <f t="shared" si="0"/>
        <v>123.36363636363635</v>
      </c>
      <c r="G25" s="8">
        <f t="shared" si="1"/>
        <v>116.38078902229843</v>
      </c>
      <c r="H25" s="8">
        <v>100.96079999999999</v>
      </c>
      <c r="I25" s="8">
        <v>0</v>
      </c>
    </row>
    <row r="26" spans="1:11" x14ac:dyDescent="0.25">
      <c r="A26" s="23"/>
      <c r="B26" s="24">
        <v>409344</v>
      </c>
      <c r="C26" s="25"/>
      <c r="D26" s="28" t="s">
        <v>50</v>
      </c>
      <c r="E26" s="8">
        <v>291.34199999999998</v>
      </c>
      <c r="F26" s="8">
        <f t="shared" si="0"/>
        <v>264.8563636363636</v>
      </c>
      <c r="G26" s="8">
        <f t="shared" si="1"/>
        <v>249.86449399656942</v>
      </c>
      <c r="H26" s="8">
        <v>216.75844799999999</v>
      </c>
      <c r="I26" s="8">
        <v>0</v>
      </c>
    </row>
    <row r="27" spans="1:11" x14ac:dyDescent="0.25">
      <c r="A27" s="23"/>
      <c r="B27" s="24">
        <v>416711</v>
      </c>
      <c r="C27" s="25"/>
      <c r="D27" s="29" t="s">
        <v>51</v>
      </c>
      <c r="E27" s="8">
        <v>142.98059999999998</v>
      </c>
      <c r="F27" s="8">
        <f t="shared" si="0"/>
        <v>129.9823636363636</v>
      </c>
      <c r="G27" s="8">
        <f t="shared" si="1"/>
        <v>122.62487135505999</v>
      </c>
      <c r="H27" s="8">
        <v>106.37756639999999</v>
      </c>
      <c r="I27" s="8">
        <v>0</v>
      </c>
    </row>
    <row r="28" spans="1:11" x14ac:dyDescent="0.25">
      <c r="A28" s="25"/>
      <c r="B28" s="24">
        <v>416709</v>
      </c>
      <c r="C28" s="25"/>
      <c r="D28" s="26" t="s">
        <v>52</v>
      </c>
      <c r="E28" s="8">
        <v>71.0124</v>
      </c>
      <c r="F28" s="8">
        <f t="shared" si="0"/>
        <v>64.556727272727272</v>
      </c>
      <c r="G28" s="8">
        <f t="shared" si="1"/>
        <v>60.902572898799313</v>
      </c>
      <c r="H28" s="8">
        <v>52.833225599999992</v>
      </c>
      <c r="I28" s="8">
        <v>0</v>
      </c>
    </row>
    <row r="29" spans="1:11" x14ac:dyDescent="0.25">
      <c r="A29" s="25"/>
      <c r="B29" s="24">
        <v>410508</v>
      </c>
      <c r="C29" s="25"/>
      <c r="D29" s="26" t="s">
        <v>53</v>
      </c>
      <c r="E29" s="8">
        <v>94.175799999999995</v>
      </c>
      <c r="F29" s="8">
        <f t="shared" si="0"/>
        <v>85.61436363636362</v>
      </c>
      <c r="G29" s="8">
        <f t="shared" si="1"/>
        <v>80.768267581475115</v>
      </c>
      <c r="H29" s="8">
        <v>70.066795200000001</v>
      </c>
      <c r="I29" s="8">
        <v>0</v>
      </c>
    </row>
    <row r="30" spans="1:11" x14ac:dyDescent="0.25">
      <c r="A30" s="25"/>
      <c r="B30" s="24">
        <v>410509</v>
      </c>
      <c r="C30" s="25"/>
      <c r="D30" s="26" t="s">
        <v>54</v>
      </c>
      <c r="E30" s="8">
        <v>211.869</v>
      </c>
      <c r="F30" s="8">
        <f t="shared" si="0"/>
        <v>192.60818181818181</v>
      </c>
      <c r="G30" s="8">
        <f t="shared" si="1"/>
        <v>181.7058319039451</v>
      </c>
      <c r="H30" s="8">
        <v>157.63053600000001</v>
      </c>
      <c r="I30" s="8">
        <v>0</v>
      </c>
    </row>
    <row r="31" spans="1:11" x14ac:dyDescent="0.25">
      <c r="A31" s="25"/>
      <c r="B31" s="24">
        <v>404235</v>
      </c>
      <c r="C31" s="25"/>
      <c r="D31" s="26" t="s">
        <v>55</v>
      </c>
      <c r="E31" s="8">
        <v>112.21799999999999</v>
      </c>
      <c r="F31" s="8">
        <f t="shared" si="0"/>
        <v>102.01636363636362</v>
      </c>
      <c r="G31" s="8">
        <f t="shared" si="1"/>
        <v>96.241852487135489</v>
      </c>
      <c r="H31" s="8">
        <v>83.490191999999993</v>
      </c>
      <c r="I31" s="8">
        <v>0</v>
      </c>
    </row>
    <row r="32" spans="1:11" x14ac:dyDescent="0.25">
      <c r="A32" s="25"/>
      <c r="B32" s="24">
        <v>415009</v>
      </c>
      <c r="C32" s="25"/>
      <c r="D32" s="26" t="s">
        <v>56</v>
      </c>
      <c r="E32" s="8">
        <v>68.085999999999999</v>
      </c>
      <c r="F32" s="8">
        <f t="shared" si="0"/>
        <v>61.896363636363631</v>
      </c>
      <c r="G32" s="8">
        <f t="shared" si="1"/>
        <v>58.392795883361913</v>
      </c>
      <c r="H32" s="8">
        <v>50.655984000000004</v>
      </c>
      <c r="I32" s="8">
        <v>0</v>
      </c>
    </row>
    <row r="33" spans="1:10" x14ac:dyDescent="0.25">
      <c r="A33" s="25"/>
      <c r="B33" s="24">
        <v>415010</v>
      </c>
      <c r="C33" s="25"/>
      <c r="D33" s="30" t="s">
        <v>57</v>
      </c>
      <c r="E33" s="8">
        <v>72.664400000000001</v>
      </c>
      <c r="F33" s="8">
        <f t="shared" si="0"/>
        <v>66.058545454545452</v>
      </c>
      <c r="G33" s="8">
        <f t="shared" si="1"/>
        <v>62.319382504288157</v>
      </c>
      <c r="H33" s="8">
        <v>54.062313599999996</v>
      </c>
      <c r="I33" s="8">
        <v>0</v>
      </c>
    </row>
    <row r="34" spans="1:10" x14ac:dyDescent="0.25">
      <c r="A34" s="25"/>
      <c r="B34" s="24">
        <v>410802</v>
      </c>
      <c r="C34" s="25"/>
      <c r="D34" s="26" t="s">
        <v>58</v>
      </c>
      <c r="E34" s="8">
        <v>79.06</v>
      </c>
      <c r="F34" s="8">
        <f t="shared" si="0"/>
        <v>71.872727272727275</v>
      </c>
      <c r="G34" s="8">
        <f t="shared" si="1"/>
        <v>67.804459691252148</v>
      </c>
      <c r="H34" s="8">
        <v>58.820639999999997</v>
      </c>
      <c r="I34" s="8">
        <v>0</v>
      </c>
    </row>
    <row r="35" spans="1:10" x14ac:dyDescent="0.25">
      <c r="A35" s="25"/>
      <c r="B35" s="24">
        <v>410801</v>
      </c>
      <c r="C35" s="25"/>
      <c r="D35" s="26" t="s">
        <v>59</v>
      </c>
      <c r="E35" s="8">
        <v>44.131999999999998</v>
      </c>
      <c r="F35" s="8">
        <f t="shared" si="0"/>
        <v>40.119999999999997</v>
      </c>
      <c r="G35" s="8">
        <f t="shared" si="1"/>
        <v>37.849056603773583</v>
      </c>
      <c r="H35" s="8">
        <v>32.834207999999997</v>
      </c>
      <c r="I35" s="8">
        <v>0</v>
      </c>
    </row>
    <row r="36" spans="1:10" ht="15.75" thickBot="1" x14ac:dyDescent="0.3">
      <c r="E36" s="8"/>
      <c r="F36" s="8"/>
      <c r="G36" s="8"/>
      <c r="H36" s="8"/>
      <c r="I36" s="8"/>
    </row>
    <row r="37" spans="1:10" ht="15.75" thickBot="1" x14ac:dyDescent="0.3">
      <c r="A37" s="31" t="s">
        <v>0</v>
      </c>
      <c r="B37" s="32" t="s">
        <v>1</v>
      </c>
      <c r="C37" s="32" t="s">
        <v>2</v>
      </c>
      <c r="D37" s="33" t="s">
        <v>3</v>
      </c>
      <c r="E37" s="8"/>
      <c r="F37" s="8"/>
      <c r="G37" s="8"/>
      <c r="H37" s="8"/>
      <c r="I37" s="8"/>
      <c r="J37" s="34" t="s">
        <v>60</v>
      </c>
    </row>
    <row r="38" spans="1:10" ht="15.75" thickBot="1" x14ac:dyDescent="0.3">
      <c r="A38" s="35" t="s">
        <v>61</v>
      </c>
      <c r="B38" s="36">
        <v>842091</v>
      </c>
      <c r="C38" s="37"/>
      <c r="D38" s="37" t="s">
        <v>62</v>
      </c>
      <c r="E38" s="8">
        <v>54.970712999999996</v>
      </c>
      <c r="F38" s="8">
        <f t="shared" si="0"/>
        <v>49.973375454545447</v>
      </c>
      <c r="G38" s="8">
        <f t="shared" si="1"/>
        <v>47.144693825042872</v>
      </c>
      <c r="H38" s="8">
        <v>40.898799999999994</v>
      </c>
      <c r="I38" s="8">
        <v>35.989999999999995</v>
      </c>
      <c r="J38" s="16" t="s">
        <v>32</v>
      </c>
    </row>
    <row r="39" spans="1:10" ht="15.75" thickBot="1" x14ac:dyDescent="0.3">
      <c r="A39" s="38" t="s">
        <v>63</v>
      </c>
      <c r="B39" s="39">
        <v>842092</v>
      </c>
      <c r="C39" s="27">
        <v>6000</v>
      </c>
      <c r="D39" s="40" t="s">
        <v>64</v>
      </c>
      <c r="E39" s="8">
        <v>133.47994800000001</v>
      </c>
      <c r="F39" s="8">
        <f t="shared" si="0"/>
        <v>121.34540727272727</v>
      </c>
      <c r="G39" s="8">
        <f t="shared" si="1"/>
        <v>114.47679931389365</v>
      </c>
      <c r="H39" s="8">
        <v>99.308799999999991</v>
      </c>
      <c r="I39" s="8">
        <v>84.417200000000008</v>
      </c>
      <c r="J39" s="16" t="s">
        <v>32</v>
      </c>
    </row>
    <row r="40" spans="1:10" ht="15.75" thickBot="1" x14ac:dyDescent="0.3">
      <c r="A40" s="38" t="s">
        <v>65</v>
      </c>
      <c r="B40" s="39">
        <v>842093</v>
      </c>
      <c r="C40" s="27">
        <v>6000</v>
      </c>
      <c r="D40" s="40" t="s">
        <v>66</v>
      </c>
      <c r="E40" s="8">
        <v>133.47994800000001</v>
      </c>
      <c r="F40" s="8">
        <f t="shared" si="0"/>
        <v>121.34540727272727</v>
      </c>
      <c r="G40" s="8">
        <f t="shared" si="1"/>
        <v>114.47679931389365</v>
      </c>
      <c r="H40" s="8">
        <v>99.308799999999991</v>
      </c>
      <c r="I40" s="8">
        <v>84.417200000000008</v>
      </c>
      <c r="J40" s="16" t="s">
        <v>32</v>
      </c>
    </row>
    <row r="41" spans="1:10" ht="15.75" thickBot="1" x14ac:dyDescent="0.3">
      <c r="A41" s="41" t="s">
        <v>67</v>
      </c>
      <c r="B41" s="42">
        <v>842094</v>
      </c>
      <c r="C41" s="43">
        <v>6000</v>
      </c>
      <c r="D41" s="44" t="s">
        <v>68</v>
      </c>
      <c r="E41" s="8">
        <v>133.47994800000001</v>
      </c>
      <c r="F41" s="8">
        <f t="shared" si="0"/>
        <v>121.34540727272727</v>
      </c>
      <c r="G41" s="8">
        <f t="shared" si="1"/>
        <v>114.47679931389365</v>
      </c>
      <c r="H41" s="8">
        <v>99.308799999999991</v>
      </c>
      <c r="I41" s="8">
        <v>84.417200000000008</v>
      </c>
      <c r="J41" s="16" t="s">
        <v>32</v>
      </c>
    </row>
    <row r="42" spans="1:10" ht="15.75" thickBot="1" x14ac:dyDescent="0.3">
      <c r="A42" s="45" t="s">
        <v>69</v>
      </c>
      <c r="B42" s="46">
        <v>841918</v>
      </c>
      <c r="C42" s="47">
        <v>15000</v>
      </c>
      <c r="D42" s="48" t="s">
        <v>70</v>
      </c>
      <c r="E42" s="8">
        <v>92.520260000000007</v>
      </c>
      <c r="F42" s="8">
        <f t="shared" si="0"/>
        <v>84.10932727272727</v>
      </c>
      <c r="G42" s="8">
        <f t="shared" si="1"/>
        <v>79.348421955403083</v>
      </c>
      <c r="H42" s="8">
        <v>68.829399999999993</v>
      </c>
      <c r="I42" s="8">
        <v>58.173999999999992</v>
      </c>
      <c r="J42" s="16" t="s">
        <v>32</v>
      </c>
    </row>
    <row r="43" spans="1:10" ht="15.75" thickBot="1" x14ac:dyDescent="0.3">
      <c r="A43" s="49" t="s">
        <v>71</v>
      </c>
      <c r="B43" s="39">
        <v>841919</v>
      </c>
      <c r="C43" s="27">
        <v>9500</v>
      </c>
      <c r="D43" s="40" t="s">
        <v>72</v>
      </c>
      <c r="E43" s="8">
        <v>205.01556000000002</v>
      </c>
      <c r="F43" s="8">
        <f t="shared" si="0"/>
        <v>186.37778181818183</v>
      </c>
      <c r="G43" s="8">
        <f t="shared" si="1"/>
        <v>175.8280960548885</v>
      </c>
      <c r="H43" s="8">
        <v>152.52679999999998</v>
      </c>
      <c r="I43" s="8">
        <v>121.53999999999999</v>
      </c>
      <c r="J43" s="16" t="s">
        <v>32</v>
      </c>
    </row>
    <row r="44" spans="1:10" ht="15.75" thickBot="1" x14ac:dyDescent="0.3">
      <c r="A44" s="49" t="s">
        <v>73</v>
      </c>
      <c r="B44" s="39">
        <v>841920</v>
      </c>
      <c r="C44" s="27">
        <v>9500</v>
      </c>
      <c r="D44" s="40" t="s">
        <v>74</v>
      </c>
      <c r="E44" s="8">
        <v>205.01556000000002</v>
      </c>
      <c r="F44" s="8">
        <f t="shared" si="0"/>
        <v>186.37778181818183</v>
      </c>
      <c r="G44" s="8">
        <f t="shared" si="1"/>
        <v>175.8280960548885</v>
      </c>
      <c r="H44" s="8">
        <v>152.52679999999998</v>
      </c>
      <c r="I44" s="8">
        <v>121.53999999999999</v>
      </c>
      <c r="J44" s="16" t="s">
        <v>32</v>
      </c>
    </row>
    <row r="45" spans="1:10" ht="15.75" thickBot="1" x14ac:dyDescent="0.3">
      <c r="A45" s="50" t="s">
        <v>75</v>
      </c>
      <c r="B45" s="51">
        <v>841921</v>
      </c>
      <c r="C45" s="52">
        <v>9500</v>
      </c>
      <c r="D45" s="53" t="s">
        <v>76</v>
      </c>
      <c r="E45" s="8">
        <v>205.01556000000002</v>
      </c>
      <c r="F45" s="8">
        <f t="shared" si="0"/>
        <v>186.37778181818183</v>
      </c>
      <c r="G45" s="8">
        <f t="shared" si="1"/>
        <v>175.8280960548885</v>
      </c>
      <c r="H45" s="8">
        <v>152.52679999999998</v>
      </c>
      <c r="I45" s="8">
        <v>121.53999999999999</v>
      </c>
      <c r="J45" s="16" t="s">
        <v>32</v>
      </c>
    </row>
    <row r="46" spans="1:10" ht="15.75" thickBot="1" x14ac:dyDescent="0.3">
      <c r="A46" s="35" t="s">
        <v>77</v>
      </c>
      <c r="B46" s="46">
        <v>841813</v>
      </c>
      <c r="C46" s="47">
        <v>29500</v>
      </c>
      <c r="D46" s="48" t="s">
        <v>78</v>
      </c>
      <c r="E46" s="8">
        <v>150.16561999999999</v>
      </c>
      <c r="F46" s="8">
        <f t="shared" si="0"/>
        <v>136.51419999999999</v>
      </c>
      <c r="G46" s="8">
        <f t="shared" si="1"/>
        <v>128.78698113207545</v>
      </c>
      <c r="H46" s="8">
        <v>111.72240000000001</v>
      </c>
      <c r="I46" s="8">
        <v>98.317599999999985</v>
      </c>
      <c r="J46" s="54" t="s">
        <v>32</v>
      </c>
    </row>
    <row r="47" spans="1:10" ht="15.75" thickBot="1" x14ac:dyDescent="0.3">
      <c r="A47" s="38" t="s">
        <v>79</v>
      </c>
      <c r="B47" s="39">
        <v>841814</v>
      </c>
      <c r="C47" s="27">
        <v>18000</v>
      </c>
      <c r="D47" s="40" t="s">
        <v>80</v>
      </c>
      <c r="E47" s="8">
        <v>200.18464000000003</v>
      </c>
      <c r="F47" s="8">
        <f t="shared" si="0"/>
        <v>181.98603636363637</v>
      </c>
      <c r="G47" s="8">
        <f t="shared" si="1"/>
        <v>171.6849399656947</v>
      </c>
      <c r="H47" s="8">
        <v>148.93959999999998</v>
      </c>
      <c r="I47" s="8">
        <v>131.06259999999997</v>
      </c>
      <c r="J47" s="54" t="s">
        <v>32</v>
      </c>
    </row>
    <row r="48" spans="1:10" ht="15.75" thickBot="1" x14ac:dyDescent="0.3">
      <c r="A48" s="38" t="s">
        <v>81</v>
      </c>
      <c r="B48" s="39">
        <v>841815</v>
      </c>
      <c r="C48" s="27">
        <v>18000</v>
      </c>
      <c r="D48" s="40" t="s">
        <v>82</v>
      </c>
      <c r="E48" s="8">
        <v>200.18464000000003</v>
      </c>
      <c r="F48" s="8">
        <f t="shared" si="0"/>
        <v>181.98603636363637</v>
      </c>
      <c r="G48" s="8">
        <f t="shared" si="1"/>
        <v>171.6849399656947</v>
      </c>
      <c r="H48" s="8">
        <v>148.93959999999998</v>
      </c>
      <c r="I48" s="8">
        <v>131.06259999999997</v>
      </c>
      <c r="J48" s="54" t="s">
        <v>32</v>
      </c>
    </row>
    <row r="49" spans="1:10" ht="15.75" thickBot="1" x14ac:dyDescent="0.3">
      <c r="A49" s="41" t="s">
        <v>83</v>
      </c>
      <c r="B49" s="42">
        <v>841816</v>
      </c>
      <c r="C49" s="43">
        <v>18000</v>
      </c>
      <c r="D49" s="44" t="s">
        <v>84</v>
      </c>
      <c r="E49" s="8">
        <v>200.18464000000003</v>
      </c>
      <c r="F49" s="8">
        <f t="shared" si="0"/>
        <v>181.98603636363637</v>
      </c>
      <c r="G49" s="8">
        <f t="shared" si="1"/>
        <v>171.6849399656947</v>
      </c>
      <c r="H49" s="8">
        <v>148.93959999999998</v>
      </c>
      <c r="I49" s="8">
        <v>131.06259999999997</v>
      </c>
      <c r="J49" s="54" t="s">
        <v>32</v>
      </c>
    </row>
    <row r="50" spans="1:10" ht="15.75" thickBot="1" x14ac:dyDescent="0.3">
      <c r="A50" s="35" t="s">
        <v>85</v>
      </c>
      <c r="B50" s="46">
        <v>841849</v>
      </c>
      <c r="C50" s="47">
        <v>33000</v>
      </c>
      <c r="D50" s="48" t="s">
        <v>86</v>
      </c>
      <c r="E50" s="8">
        <v>148.21153999999999</v>
      </c>
      <c r="F50" s="8">
        <f t="shared" si="0"/>
        <v>134.73776363636361</v>
      </c>
      <c r="G50" s="8">
        <f t="shared" si="1"/>
        <v>127.11109777015434</v>
      </c>
      <c r="H50" s="8">
        <v>110.271</v>
      </c>
      <c r="I50" s="8">
        <v>98.211399999999998</v>
      </c>
      <c r="J50" s="16" t="s">
        <v>32</v>
      </c>
    </row>
    <row r="51" spans="1:10" ht="15.75" thickBot="1" x14ac:dyDescent="0.3">
      <c r="A51" s="38" t="s">
        <v>87</v>
      </c>
      <c r="B51" s="39">
        <v>841850</v>
      </c>
      <c r="C51" s="27">
        <v>22500</v>
      </c>
      <c r="D51" s="40" t="s">
        <v>88</v>
      </c>
      <c r="E51" s="8">
        <v>222.43943999999996</v>
      </c>
      <c r="F51" s="8">
        <f t="shared" si="0"/>
        <v>202.21767272727269</v>
      </c>
      <c r="G51" s="8">
        <f t="shared" si="1"/>
        <v>190.77138936535158</v>
      </c>
      <c r="H51" s="8">
        <v>165.495</v>
      </c>
      <c r="I51" s="8">
        <v>145.63559999999998</v>
      </c>
      <c r="J51" s="16" t="s">
        <v>32</v>
      </c>
    </row>
    <row r="52" spans="1:10" ht="15.75" thickBot="1" x14ac:dyDescent="0.3">
      <c r="A52" s="38" t="s">
        <v>89</v>
      </c>
      <c r="B52" s="39">
        <v>841851</v>
      </c>
      <c r="C52" s="27">
        <v>22500</v>
      </c>
      <c r="D52" s="40" t="s">
        <v>90</v>
      </c>
      <c r="E52" s="8">
        <v>222.43943999999996</v>
      </c>
      <c r="F52" s="8">
        <f t="shared" si="0"/>
        <v>202.21767272727269</v>
      </c>
      <c r="G52" s="8">
        <f t="shared" si="1"/>
        <v>190.77138936535158</v>
      </c>
      <c r="H52" s="8">
        <v>165.495</v>
      </c>
      <c r="I52" s="8">
        <v>145.63559999999998</v>
      </c>
      <c r="J52" s="16" t="s">
        <v>32</v>
      </c>
    </row>
    <row r="53" spans="1:10" ht="15.75" thickBot="1" x14ac:dyDescent="0.3">
      <c r="A53" s="55" t="s">
        <v>91</v>
      </c>
      <c r="B53" s="51">
        <v>841852</v>
      </c>
      <c r="C53" s="52">
        <v>22500</v>
      </c>
      <c r="D53" s="53" t="s">
        <v>92</v>
      </c>
      <c r="E53" s="8">
        <v>222.43943999999996</v>
      </c>
      <c r="F53" s="8">
        <f t="shared" si="0"/>
        <v>202.21767272727269</v>
      </c>
      <c r="G53" s="8">
        <f t="shared" si="1"/>
        <v>190.77138936535158</v>
      </c>
      <c r="H53" s="8">
        <v>165.495</v>
      </c>
      <c r="I53" s="8">
        <v>145.63559999999998</v>
      </c>
      <c r="J53" s="16" t="s">
        <v>32</v>
      </c>
    </row>
    <row r="54" spans="1:10" x14ac:dyDescent="0.25">
      <c r="A54" s="113" t="s">
        <v>93</v>
      </c>
      <c r="B54" s="56">
        <v>408310</v>
      </c>
      <c r="C54" s="57">
        <v>15000</v>
      </c>
      <c r="D54" s="58" t="s">
        <v>94</v>
      </c>
      <c r="E54" s="8">
        <v>296.98505235124026</v>
      </c>
      <c r="F54" s="8">
        <f t="shared" si="0"/>
        <v>269.98641122840019</v>
      </c>
      <c r="G54" s="8">
        <f t="shared" si="1"/>
        <v>254.70416153622656</v>
      </c>
      <c r="H54" s="8">
        <v>219.76893873991781</v>
      </c>
      <c r="I54" s="8">
        <v>0</v>
      </c>
    </row>
    <row r="55" spans="1:10" x14ac:dyDescent="0.25">
      <c r="A55" s="101"/>
      <c r="B55" s="39">
        <v>408311</v>
      </c>
      <c r="C55" s="27">
        <v>7700</v>
      </c>
      <c r="D55" s="59" t="s">
        <v>95</v>
      </c>
      <c r="E55" s="8">
        <v>193.68483815248823</v>
      </c>
      <c r="F55" s="8">
        <f t="shared" si="0"/>
        <v>176.0771255931711</v>
      </c>
      <c r="G55" s="8">
        <f t="shared" si="1"/>
        <v>166.11049584261423</v>
      </c>
      <c r="H55" s="8">
        <v>143.32678023284129</v>
      </c>
      <c r="I55" s="8">
        <v>0</v>
      </c>
    </row>
    <row r="56" spans="1:10" x14ac:dyDescent="0.25">
      <c r="A56" s="101"/>
      <c r="B56" s="39">
        <v>408312</v>
      </c>
      <c r="C56" s="27">
        <v>7700</v>
      </c>
      <c r="D56" s="59" t="s">
        <v>96</v>
      </c>
      <c r="E56" s="8">
        <v>193.68483815248823</v>
      </c>
      <c r="F56" s="8">
        <f t="shared" si="0"/>
        <v>176.0771255931711</v>
      </c>
      <c r="G56" s="8">
        <f t="shared" si="1"/>
        <v>166.11049584261423</v>
      </c>
      <c r="H56" s="8">
        <v>143.32678023284129</v>
      </c>
      <c r="I56" s="8">
        <v>0</v>
      </c>
    </row>
    <row r="57" spans="1:10" ht="15.75" thickBot="1" x14ac:dyDescent="0.3">
      <c r="A57" s="102"/>
      <c r="B57" s="51">
        <v>408313</v>
      </c>
      <c r="C57" s="52">
        <v>7700</v>
      </c>
      <c r="D57" s="60" t="s">
        <v>97</v>
      </c>
      <c r="E57" s="8">
        <v>193.68483815248823</v>
      </c>
      <c r="F57" s="8">
        <f t="shared" si="0"/>
        <v>176.0771255931711</v>
      </c>
      <c r="G57" s="8">
        <f t="shared" si="1"/>
        <v>166.11049584261423</v>
      </c>
      <c r="H57" s="8">
        <v>143.32678023284129</v>
      </c>
      <c r="I57" s="8">
        <v>0</v>
      </c>
    </row>
    <row r="58" spans="1:10" x14ac:dyDescent="0.25">
      <c r="A58" s="103" t="s">
        <v>98</v>
      </c>
      <c r="B58" s="46">
        <v>842378</v>
      </c>
      <c r="C58" s="47">
        <v>17000</v>
      </c>
      <c r="D58" s="61" t="s">
        <v>99</v>
      </c>
      <c r="E58" s="8">
        <v>47.397534621823162</v>
      </c>
      <c r="F58" s="8">
        <f t="shared" si="0"/>
        <v>43.088667838021053</v>
      </c>
      <c r="G58" s="8">
        <f t="shared" si="1"/>
        <v>40.649686639642503</v>
      </c>
      <c r="H58" s="8">
        <v>35.069599999999994</v>
      </c>
      <c r="I58" s="8">
        <v>0</v>
      </c>
    </row>
    <row r="59" spans="1:10" x14ac:dyDescent="0.25">
      <c r="A59" s="104"/>
      <c r="B59" s="39">
        <v>842379</v>
      </c>
      <c r="C59" s="27">
        <v>6000</v>
      </c>
      <c r="D59" s="59" t="s">
        <v>100</v>
      </c>
      <c r="E59" s="8">
        <v>115.13095926545934</v>
      </c>
      <c r="F59" s="8">
        <f t="shared" si="0"/>
        <v>104.66450842314484</v>
      </c>
      <c r="G59" s="8">
        <f t="shared" si="1"/>
        <v>98.740102285985685</v>
      </c>
      <c r="H59" s="8">
        <v>85.195999999999998</v>
      </c>
      <c r="I59" s="8">
        <v>0</v>
      </c>
    </row>
    <row r="60" spans="1:10" x14ac:dyDescent="0.25">
      <c r="A60" s="104"/>
      <c r="B60" s="39">
        <v>842380</v>
      </c>
      <c r="C60" s="27">
        <v>6000</v>
      </c>
      <c r="D60" s="59" t="s">
        <v>101</v>
      </c>
      <c r="E60" s="8">
        <v>115.13095926545934</v>
      </c>
      <c r="F60" s="8">
        <f t="shared" si="0"/>
        <v>104.66450842314484</v>
      </c>
      <c r="G60" s="8">
        <f t="shared" si="1"/>
        <v>98.740102285985685</v>
      </c>
      <c r="H60" s="8">
        <v>85.195999999999998</v>
      </c>
      <c r="I60" s="8">
        <v>0</v>
      </c>
    </row>
    <row r="61" spans="1:10" ht="15.75" thickBot="1" x14ac:dyDescent="0.3">
      <c r="A61" s="105"/>
      <c r="B61" s="51">
        <v>842381</v>
      </c>
      <c r="C61" s="52">
        <v>6000</v>
      </c>
      <c r="D61" s="60" t="s">
        <v>102</v>
      </c>
      <c r="E61" s="8">
        <v>115.13095926545934</v>
      </c>
      <c r="F61" s="8">
        <f t="shared" si="0"/>
        <v>104.66450842314484</v>
      </c>
      <c r="G61" s="8">
        <f t="shared" si="1"/>
        <v>98.740102285985685</v>
      </c>
      <c r="H61" s="8">
        <v>85.195999999999998</v>
      </c>
      <c r="I61" s="8">
        <v>0</v>
      </c>
    </row>
    <row r="62" spans="1:10" x14ac:dyDescent="0.25">
      <c r="A62" s="114" t="s">
        <v>103</v>
      </c>
      <c r="B62" s="56">
        <v>842725</v>
      </c>
      <c r="C62" s="57">
        <v>16000</v>
      </c>
      <c r="D62" s="58" t="s">
        <v>104</v>
      </c>
      <c r="E62" s="8">
        <v>51.735884264191142</v>
      </c>
      <c r="F62" s="8">
        <f t="shared" si="0"/>
        <v>47.032622058355578</v>
      </c>
      <c r="G62" s="8">
        <f t="shared" si="1"/>
        <v>44.370398168259975</v>
      </c>
      <c r="H62" s="8">
        <v>38.284554355501442</v>
      </c>
      <c r="I62" s="8">
        <v>0</v>
      </c>
    </row>
    <row r="63" spans="1:10" x14ac:dyDescent="0.25">
      <c r="A63" s="114"/>
      <c r="B63" s="39">
        <v>842718</v>
      </c>
      <c r="C63" s="27">
        <v>10000</v>
      </c>
      <c r="D63" s="59" t="s">
        <v>105</v>
      </c>
      <c r="E63" s="8">
        <v>174.10313681327045</v>
      </c>
      <c r="F63" s="8">
        <f t="shared" si="0"/>
        <v>158.27557892115493</v>
      </c>
      <c r="G63" s="8">
        <f t="shared" si="1"/>
        <v>149.31658388788199</v>
      </c>
      <c r="H63" s="8">
        <v>128.83632124182014</v>
      </c>
      <c r="I63" s="8">
        <v>0</v>
      </c>
    </row>
    <row r="64" spans="1:10" x14ac:dyDescent="0.25">
      <c r="A64" s="114"/>
      <c r="B64" s="39">
        <v>842719</v>
      </c>
      <c r="C64" s="27">
        <v>10000</v>
      </c>
      <c r="D64" s="59" t="s">
        <v>106</v>
      </c>
      <c r="E64" s="8">
        <v>174.10313681327045</v>
      </c>
      <c r="F64" s="8">
        <f t="shared" si="0"/>
        <v>158.27557892115493</v>
      </c>
      <c r="G64" s="8">
        <f t="shared" si="1"/>
        <v>149.31658388788199</v>
      </c>
      <c r="H64" s="8">
        <v>128.83632124182014</v>
      </c>
      <c r="I64" s="8">
        <v>0</v>
      </c>
    </row>
    <row r="65" spans="1:10" ht="15.75" thickBot="1" x14ac:dyDescent="0.3">
      <c r="A65" s="115"/>
      <c r="B65" s="51">
        <v>842720</v>
      </c>
      <c r="C65" s="52">
        <v>10000</v>
      </c>
      <c r="D65" s="60" t="s">
        <v>107</v>
      </c>
      <c r="E65" s="8">
        <v>174.10313681327045</v>
      </c>
      <c r="F65" s="8">
        <f t="shared" si="0"/>
        <v>158.27557892115493</v>
      </c>
      <c r="G65" s="8">
        <f t="shared" si="1"/>
        <v>149.31658388788199</v>
      </c>
      <c r="H65" s="8">
        <v>128.83632124182014</v>
      </c>
      <c r="I65" s="8">
        <v>0</v>
      </c>
    </row>
    <row r="66" spans="1:10" x14ac:dyDescent="0.25">
      <c r="A66" s="103" t="s">
        <v>108</v>
      </c>
      <c r="B66" s="46">
        <v>842370</v>
      </c>
      <c r="C66" s="47">
        <v>17500</v>
      </c>
      <c r="D66" s="62" t="s">
        <v>109</v>
      </c>
      <c r="E66" s="8">
        <v>54.186660401765323</v>
      </c>
      <c r="F66" s="8">
        <f t="shared" si="0"/>
        <v>49.260600365241196</v>
      </c>
      <c r="G66" s="8">
        <f t="shared" si="1"/>
        <v>46.472264495510558</v>
      </c>
      <c r="H66" s="8">
        <v>40.119999999999997</v>
      </c>
      <c r="I66" s="8">
        <v>0</v>
      </c>
    </row>
    <row r="67" spans="1:10" x14ac:dyDescent="0.25">
      <c r="A67" s="104"/>
      <c r="B67" s="39" t="s">
        <v>110</v>
      </c>
      <c r="C67" s="27">
        <v>8000</v>
      </c>
      <c r="D67" s="63" t="s">
        <v>111</v>
      </c>
      <c r="E67" s="8">
        <v>149.71791424440724</v>
      </c>
      <c r="F67" s="8">
        <f t="shared" ref="F67:F130" si="2">E67/1.1</f>
        <v>136.10719476764294</v>
      </c>
      <c r="G67" s="8">
        <f t="shared" ref="G67:G130" si="3">F67/1.06</f>
        <v>128.40301393173863</v>
      </c>
      <c r="H67" s="8">
        <v>110.7902</v>
      </c>
      <c r="I67" s="8">
        <v>0</v>
      </c>
    </row>
    <row r="68" spans="1:10" x14ac:dyDescent="0.25">
      <c r="A68" s="104"/>
      <c r="B68" s="39" t="s">
        <v>112</v>
      </c>
      <c r="C68" s="27">
        <v>8000</v>
      </c>
      <c r="D68" s="63" t="s">
        <v>113</v>
      </c>
      <c r="E68" s="8">
        <v>149.71791424440724</v>
      </c>
      <c r="F68" s="8">
        <f t="shared" si="2"/>
        <v>136.10719476764294</v>
      </c>
      <c r="G68" s="8">
        <f t="shared" si="3"/>
        <v>128.40301393173863</v>
      </c>
      <c r="H68" s="8">
        <v>110.7902</v>
      </c>
      <c r="I68" s="8">
        <v>0</v>
      </c>
    </row>
    <row r="69" spans="1:10" ht="15.75" thickBot="1" x14ac:dyDescent="0.3">
      <c r="A69" s="105"/>
      <c r="B69" s="51" t="s">
        <v>114</v>
      </c>
      <c r="C69" s="52">
        <v>8000</v>
      </c>
      <c r="D69" s="64" t="s">
        <v>115</v>
      </c>
      <c r="E69" s="8">
        <v>149.71791424440724</v>
      </c>
      <c r="F69" s="8">
        <f t="shared" si="2"/>
        <v>136.10719476764294</v>
      </c>
      <c r="G69" s="8">
        <f t="shared" si="3"/>
        <v>128.40301393173863</v>
      </c>
      <c r="H69" s="8">
        <v>110.7902</v>
      </c>
      <c r="I69" s="8">
        <v>0</v>
      </c>
    </row>
    <row r="70" spans="1:10" x14ac:dyDescent="0.25">
      <c r="A70" s="103" t="s">
        <v>116</v>
      </c>
      <c r="B70" s="46">
        <v>842394</v>
      </c>
      <c r="C70" s="47">
        <v>17500</v>
      </c>
      <c r="D70" s="62" t="s">
        <v>117</v>
      </c>
      <c r="E70" s="8">
        <v>54.186660401765323</v>
      </c>
      <c r="F70" s="8">
        <f t="shared" si="2"/>
        <v>49.260600365241196</v>
      </c>
      <c r="G70" s="8">
        <f t="shared" si="3"/>
        <v>46.472264495510558</v>
      </c>
      <c r="H70" s="8">
        <v>40.119999999999997</v>
      </c>
      <c r="I70" s="8">
        <v>0</v>
      </c>
    </row>
    <row r="71" spans="1:10" x14ac:dyDescent="0.25">
      <c r="A71" s="104"/>
      <c r="B71" s="39">
        <v>842395</v>
      </c>
      <c r="C71" s="27">
        <v>8000</v>
      </c>
      <c r="D71" s="63" t="s">
        <v>118</v>
      </c>
      <c r="E71" s="8">
        <v>149.71791424440724</v>
      </c>
      <c r="F71" s="8">
        <f t="shared" si="2"/>
        <v>136.10719476764294</v>
      </c>
      <c r="G71" s="8">
        <f t="shared" si="3"/>
        <v>128.40301393173863</v>
      </c>
      <c r="H71" s="8">
        <v>110.7902</v>
      </c>
      <c r="I71" s="8">
        <v>0</v>
      </c>
    </row>
    <row r="72" spans="1:10" x14ac:dyDescent="0.25">
      <c r="A72" s="104"/>
      <c r="B72" s="39">
        <v>842396</v>
      </c>
      <c r="C72" s="27">
        <v>8000</v>
      </c>
      <c r="D72" s="63" t="s">
        <v>119</v>
      </c>
      <c r="E72" s="8">
        <v>149.71791424440724</v>
      </c>
      <c r="F72" s="8">
        <f t="shared" si="2"/>
        <v>136.10719476764294</v>
      </c>
      <c r="G72" s="8">
        <f t="shared" si="3"/>
        <v>128.40301393173863</v>
      </c>
      <c r="H72" s="8">
        <v>110.7902</v>
      </c>
      <c r="I72" s="8">
        <v>0</v>
      </c>
    </row>
    <row r="73" spans="1:10" ht="15.75" thickBot="1" x14ac:dyDescent="0.3">
      <c r="A73" s="105"/>
      <c r="B73" s="51">
        <v>842397</v>
      </c>
      <c r="C73" s="52">
        <v>8000</v>
      </c>
      <c r="D73" s="64" t="s">
        <v>120</v>
      </c>
      <c r="E73" s="8">
        <v>149.71791424440724</v>
      </c>
      <c r="F73" s="8">
        <f t="shared" si="2"/>
        <v>136.10719476764294</v>
      </c>
      <c r="G73" s="8">
        <f t="shared" si="3"/>
        <v>128.40301393173863</v>
      </c>
      <c r="H73" s="8">
        <v>110.7902</v>
      </c>
      <c r="I73" s="8">
        <v>0</v>
      </c>
    </row>
    <row r="74" spans="1:10" x14ac:dyDescent="0.25">
      <c r="A74" s="103" t="s">
        <v>121</v>
      </c>
      <c r="B74" s="65">
        <v>842434</v>
      </c>
      <c r="C74" s="66">
        <v>31000</v>
      </c>
      <c r="D74" s="67" t="s">
        <v>122</v>
      </c>
      <c r="E74" s="8">
        <v>135.37788388373156</v>
      </c>
      <c r="F74" s="8">
        <f t="shared" si="2"/>
        <v>123.07080353066505</v>
      </c>
      <c r="G74" s="8">
        <f t="shared" si="3"/>
        <v>116.10453163270287</v>
      </c>
      <c r="H74" s="8">
        <v>100.182</v>
      </c>
      <c r="I74" s="8">
        <v>0</v>
      </c>
      <c r="J74" s="68"/>
    </row>
    <row r="75" spans="1:10" x14ac:dyDescent="0.25">
      <c r="A75" s="104"/>
      <c r="B75" s="69">
        <v>842435</v>
      </c>
      <c r="C75" s="70">
        <v>19000</v>
      </c>
      <c r="D75" s="71" t="s">
        <v>123</v>
      </c>
      <c r="E75" s="8">
        <v>180.47122203621979</v>
      </c>
      <c r="F75" s="8">
        <f t="shared" si="2"/>
        <v>164.06474730565435</v>
      </c>
      <c r="G75" s="8">
        <f t="shared" si="3"/>
        <v>154.77806349590031</v>
      </c>
      <c r="H75" s="8">
        <v>133.57599999999999</v>
      </c>
      <c r="I75" s="8">
        <v>0</v>
      </c>
      <c r="J75" s="68"/>
    </row>
    <row r="76" spans="1:10" x14ac:dyDescent="0.25">
      <c r="A76" s="104"/>
      <c r="B76" s="69">
        <v>842436</v>
      </c>
      <c r="C76" s="70">
        <v>19000</v>
      </c>
      <c r="D76" s="71" t="s">
        <v>124</v>
      </c>
      <c r="E76" s="8">
        <v>180.47122203621979</v>
      </c>
      <c r="F76" s="8">
        <f t="shared" si="2"/>
        <v>164.06474730565435</v>
      </c>
      <c r="G76" s="8">
        <f t="shared" si="3"/>
        <v>154.77806349590031</v>
      </c>
      <c r="H76" s="8">
        <v>133.57599999999999</v>
      </c>
      <c r="I76" s="8">
        <v>0</v>
      </c>
      <c r="J76" s="68"/>
    </row>
    <row r="77" spans="1:10" ht="15.75" thickBot="1" x14ac:dyDescent="0.3">
      <c r="A77" s="105"/>
      <c r="B77" s="72">
        <v>842437</v>
      </c>
      <c r="C77" s="73">
        <v>19000</v>
      </c>
      <c r="D77" s="74" t="s">
        <v>125</v>
      </c>
      <c r="E77" s="8">
        <v>180.47122203621979</v>
      </c>
      <c r="F77" s="8">
        <f t="shared" si="2"/>
        <v>164.06474730565435</v>
      </c>
      <c r="G77" s="8">
        <f t="shared" si="3"/>
        <v>154.77806349590031</v>
      </c>
      <c r="H77" s="8">
        <v>133.57599999999999</v>
      </c>
      <c r="I77" s="8">
        <v>0</v>
      </c>
      <c r="J77" s="68"/>
    </row>
    <row r="78" spans="1:10" x14ac:dyDescent="0.25">
      <c r="A78" s="103" t="s">
        <v>126</v>
      </c>
      <c r="B78" s="65">
        <v>842438</v>
      </c>
      <c r="C78" s="66">
        <v>33000</v>
      </c>
      <c r="D78" s="67" t="s">
        <v>127</v>
      </c>
      <c r="E78" s="8">
        <v>113.55300182620606</v>
      </c>
      <c r="F78" s="8">
        <f t="shared" si="2"/>
        <v>103.23000166018731</v>
      </c>
      <c r="G78" s="8">
        <f t="shared" si="3"/>
        <v>97.386794019044629</v>
      </c>
      <c r="H78" s="8">
        <v>84.029221351392479</v>
      </c>
      <c r="I78" s="8">
        <v>0</v>
      </c>
      <c r="J78" s="68"/>
    </row>
    <row r="79" spans="1:10" x14ac:dyDescent="0.25">
      <c r="A79" s="104"/>
      <c r="B79" s="69">
        <v>842439</v>
      </c>
      <c r="C79" s="70">
        <v>22500</v>
      </c>
      <c r="D79" s="71" t="s">
        <v>128</v>
      </c>
      <c r="E79" s="8">
        <v>200.53445442094053</v>
      </c>
      <c r="F79" s="8">
        <f t="shared" si="2"/>
        <v>182.3040494735823</v>
      </c>
      <c r="G79" s="8">
        <f t="shared" si="3"/>
        <v>171.9849523335682</v>
      </c>
      <c r="H79" s="8">
        <v>148.39549627149597</v>
      </c>
      <c r="I79" s="8">
        <v>0</v>
      </c>
      <c r="J79" s="68"/>
    </row>
    <row r="80" spans="1:10" x14ac:dyDescent="0.25">
      <c r="A80" s="104"/>
      <c r="B80" s="69">
        <v>842440</v>
      </c>
      <c r="C80" s="70">
        <v>22500</v>
      </c>
      <c r="D80" s="71" t="s">
        <v>129</v>
      </c>
      <c r="E80" s="8">
        <v>200.53445442094053</v>
      </c>
      <c r="F80" s="8">
        <f t="shared" si="2"/>
        <v>182.3040494735823</v>
      </c>
      <c r="G80" s="8">
        <f t="shared" si="3"/>
        <v>171.9849523335682</v>
      </c>
      <c r="H80" s="8">
        <v>148.39549627149597</v>
      </c>
      <c r="I80" s="8">
        <v>0</v>
      </c>
      <c r="J80" s="68"/>
    </row>
    <row r="81" spans="1:10" ht="15.75" thickBot="1" x14ac:dyDescent="0.3">
      <c r="A81" s="105"/>
      <c r="B81" s="72">
        <v>842441</v>
      </c>
      <c r="C81" s="73">
        <v>22500</v>
      </c>
      <c r="D81" s="74" t="s">
        <v>130</v>
      </c>
      <c r="E81" s="8">
        <v>200.53445442094053</v>
      </c>
      <c r="F81" s="8">
        <f t="shared" si="2"/>
        <v>182.3040494735823</v>
      </c>
      <c r="G81" s="8">
        <f t="shared" si="3"/>
        <v>171.9849523335682</v>
      </c>
      <c r="H81" s="8">
        <v>148.39549627149597</v>
      </c>
      <c r="I81" s="8">
        <v>0</v>
      </c>
      <c r="J81" s="68"/>
    </row>
    <row r="82" spans="1:10" x14ac:dyDescent="0.25">
      <c r="A82" s="103" t="s">
        <v>131</v>
      </c>
      <c r="B82" s="65">
        <v>842442</v>
      </c>
      <c r="C82" s="66">
        <v>16500</v>
      </c>
      <c r="D82" s="67" t="s">
        <v>132</v>
      </c>
      <c r="E82" s="8">
        <v>83.409218535991499</v>
      </c>
      <c r="F82" s="8">
        <f t="shared" si="2"/>
        <v>75.826562305446814</v>
      </c>
      <c r="G82" s="8">
        <f t="shared" si="3"/>
        <v>71.53449274098756</v>
      </c>
      <c r="H82" s="8">
        <v>61.722821716633717</v>
      </c>
      <c r="I82" s="8">
        <v>0</v>
      </c>
      <c r="J82" s="68"/>
    </row>
    <row r="83" spans="1:10" x14ac:dyDescent="0.25">
      <c r="A83" s="104"/>
      <c r="B83" s="75">
        <v>842443</v>
      </c>
      <c r="C83" s="70">
        <v>10500</v>
      </c>
      <c r="D83" s="71" t="s">
        <v>133</v>
      </c>
      <c r="E83" s="8">
        <v>166.35355729721505</v>
      </c>
      <c r="F83" s="8">
        <f t="shared" si="2"/>
        <v>151.23050663383185</v>
      </c>
      <c r="G83" s="8">
        <f t="shared" si="3"/>
        <v>142.67028927719986</v>
      </c>
      <c r="H83" s="8">
        <v>123.10163239993913</v>
      </c>
      <c r="I83" s="8">
        <v>0</v>
      </c>
      <c r="J83" s="68"/>
    </row>
    <row r="84" spans="1:10" x14ac:dyDescent="0.25">
      <c r="A84" s="104"/>
      <c r="B84" s="69">
        <v>842444</v>
      </c>
      <c r="C84" s="70">
        <v>10500</v>
      </c>
      <c r="D84" s="71" t="s">
        <v>134</v>
      </c>
      <c r="E84" s="8">
        <v>166.35355729721505</v>
      </c>
      <c r="F84" s="8">
        <f t="shared" si="2"/>
        <v>151.23050663383185</v>
      </c>
      <c r="G84" s="8">
        <f t="shared" si="3"/>
        <v>142.67028927719986</v>
      </c>
      <c r="H84" s="8">
        <v>123.10163239993913</v>
      </c>
      <c r="I84" s="8">
        <v>0</v>
      </c>
      <c r="J84" s="68"/>
    </row>
    <row r="85" spans="1:10" ht="15.75" thickBot="1" x14ac:dyDescent="0.3">
      <c r="A85" s="105"/>
      <c r="B85" s="72">
        <v>842445</v>
      </c>
      <c r="C85" s="73">
        <v>10500</v>
      </c>
      <c r="D85" s="74" t="s">
        <v>135</v>
      </c>
      <c r="E85" s="8">
        <v>166.35355729721505</v>
      </c>
      <c r="F85" s="8">
        <f t="shared" si="2"/>
        <v>151.23050663383185</v>
      </c>
      <c r="G85" s="8">
        <f t="shared" si="3"/>
        <v>142.67028927719986</v>
      </c>
      <c r="H85" s="8">
        <v>123.10163239993913</v>
      </c>
      <c r="I85" s="8">
        <v>0</v>
      </c>
      <c r="J85" s="68"/>
    </row>
    <row r="86" spans="1:10" x14ac:dyDescent="0.25">
      <c r="A86" s="103" t="s">
        <v>136</v>
      </c>
      <c r="B86" s="76">
        <v>408336</v>
      </c>
      <c r="C86" s="66">
        <v>6900</v>
      </c>
      <c r="D86" s="67" t="s">
        <v>137</v>
      </c>
      <c r="E86" s="8">
        <v>122.15359999999998</v>
      </c>
      <c r="F86" s="8">
        <f t="shared" si="2"/>
        <v>111.04872727272725</v>
      </c>
      <c r="G86" s="8">
        <f t="shared" si="3"/>
        <v>104.76295025728984</v>
      </c>
      <c r="H86" s="8">
        <v>90.387999999999991</v>
      </c>
      <c r="I86" s="8">
        <v>0</v>
      </c>
      <c r="J86" s="68"/>
    </row>
    <row r="87" spans="1:10" x14ac:dyDescent="0.25">
      <c r="A87" s="104"/>
      <c r="B87" s="24">
        <v>408337</v>
      </c>
      <c r="C87" s="70">
        <v>6300</v>
      </c>
      <c r="D87" s="71" t="s">
        <v>138</v>
      </c>
      <c r="E87" s="8">
        <v>199.42</v>
      </c>
      <c r="F87" s="8">
        <f t="shared" si="2"/>
        <v>181.29090909090905</v>
      </c>
      <c r="G87" s="8">
        <f t="shared" si="3"/>
        <v>171.02915951972551</v>
      </c>
      <c r="H87" s="8">
        <v>147.5</v>
      </c>
      <c r="I87" s="8">
        <v>0</v>
      </c>
      <c r="J87" s="68"/>
    </row>
    <row r="88" spans="1:10" x14ac:dyDescent="0.25">
      <c r="A88" s="104"/>
      <c r="B88" s="24">
        <v>408338</v>
      </c>
      <c r="C88" s="70">
        <v>6300</v>
      </c>
      <c r="D88" s="71" t="s">
        <v>139</v>
      </c>
      <c r="E88" s="8">
        <v>199.42</v>
      </c>
      <c r="F88" s="8">
        <f t="shared" si="2"/>
        <v>181.29090909090905</v>
      </c>
      <c r="G88" s="8">
        <f t="shared" si="3"/>
        <v>171.02915951972551</v>
      </c>
      <c r="H88" s="8">
        <v>147.5</v>
      </c>
      <c r="I88" s="8">
        <v>0</v>
      </c>
      <c r="J88" s="68"/>
    </row>
    <row r="89" spans="1:10" x14ac:dyDescent="0.25">
      <c r="A89" s="104"/>
      <c r="B89" s="24">
        <v>408339</v>
      </c>
      <c r="C89" s="70">
        <v>6300</v>
      </c>
      <c r="D89" s="71" t="s">
        <v>140</v>
      </c>
      <c r="E89" s="8">
        <v>199.42</v>
      </c>
      <c r="F89" s="8">
        <f t="shared" si="2"/>
        <v>181.29090909090905</v>
      </c>
      <c r="G89" s="8">
        <f t="shared" si="3"/>
        <v>171.02915951972551</v>
      </c>
      <c r="H89" s="8">
        <v>147.5</v>
      </c>
      <c r="I89" s="8">
        <v>0</v>
      </c>
      <c r="J89" s="68"/>
    </row>
    <row r="90" spans="1:10" x14ac:dyDescent="0.25">
      <c r="A90" s="104"/>
      <c r="B90" s="24">
        <v>406043</v>
      </c>
      <c r="C90" s="70">
        <v>25000</v>
      </c>
      <c r="D90" s="71" t="s">
        <v>141</v>
      </c>
      <c r="E90" s="8">
        <v>31.033999999999999</v>
      </c>
      <c r="F90" s="8">
        <f t="shared" si="2"/>
        <v>28.212727272727271</v>
      </c>
      <c r="G90" s="8">
        <f t="shared" si="3"/>
        <v>26.615780445969122</v>
      </c>
      <c r="H90" s="8">
        <v>23.089295999999997</v>
      </c>
      <c r="I90" s="8">
        <v>0</v>
      </c>
      <c r="J90" s="68"/>
    </row>
    <row r="91" spans="1:10" x14ac:dyDescent="0.25">
      <c r="A91" s="104"/>
      <c r="B91" s="24" t="s">
        <v>142</v>
      </c>
      <c r="C91" s="70">
        <v>90000</v>
      </c>
      <c r="D91" s="71" t="s">
        <v>143</v>
      </c>
      <c r="E91" s="8">
        <v>1142.24</v>
      </c>
      <c r="F91" s="8">
        <f t="shared" si="2"/>
        <v>1038.3999999999999</v>
      </c>
      <c r="G91" s="8">
        <f t="shared" si="3"/>
        <v>979.62264150943383</v>
      </c>
      <c r="H91" s="8">
        <v>845.25759999999991</v>
      </c>
      <c r="I91" s="8">
        <v>0</v>
      </c>
      <c r="J91" s="68"/>
    </row>
    <row r="92" spans="1:10" x14ac:dyDescent="0.25">
      <c r="A92" s="104"/>
      <c r="B92" s="24" t="s">
        <v>144</v>
      </c>
      <c r="C92" s="70">
        <v>90000</v>
      </c>
      <c r="D92" s="71" t="s">
        <v>145</v>
      </c>
      <c r="E92" s="8">
        <v>342.55399999999997</v>
      </c>
      <c r="F92" s="8">
        <f t="shared" si="2"/>
        <v>311.41272727272724</v>
      </c>
      <c r="G92" s="8">
        <f t="shared" si="3"/>
        <v>293.78559176672377</v>
      </c>
      <c r="H92" s="8">
        <v>253.48996</v>
      </c>
      <c r="I92" s="8">
        <v>0</v>
      </c>
      <c r="J92" s="68"/>
    </row>
    <row r="93" spans="1:10" ht="15.75" thickBot="1" x14ac:dyDescent="0.3">
      <c r="A93" s="106"/>
      <c r="B93" s="77" t="s">
        <v>146</v>
      </c>
      <c r="C93" s="78">
        <v>90000</v>
      </c>
      <c r="D93" s="79" t="s">
        <v>147</v>
      </c>
      <c r="E93" s="8">
        <v>79.06</v>
      </c>
      <c r="F93" s="8">
        <f t="shared" si="2"/>
        <v>71.872727272727275</v>
      </c>
      <c r="G93" s="8">
        <f t="shared" si="3"/>
        <v>67.804459691252148</v>
      </c>
      <c r="H93" s="8">
        <v>58.504399999999997</v>
      </c>
      <c r="I93" s="8">
        <v>0</v>
      </c>
      <c r="J93" s="68"/>
    </row>
    <row r="94" spans="1:10" x14ac:dyDescent="0.25">
      <c r="A94" s="110" t="s">
        <v>148</v>
      </c>
      <c r="B94" s="76">
        <v>842687</v>
      </c>
      <c r="C94" s="66">
        <v>10500</v>
      </c>
      <c r="D94" s="67" t="s">
        <v>149</v>
      </c>
      <c r="E94" s="8">
        <v>166.67499999999998</v>
      </c>
      <c r="F94" s="8">
        <f t="shared" si="2"/>
        <v>151.52272727272725</v>
      </c>
      <c r="G94" s="8">
        <f t="shared" si="3"/>
        <v>142.94596912521439</v>
      </c>
      <c r="H94" s="8">
        <v>124.00619999999999</v>
      </c>
      <c r="I94" s="8">
        <v>0</v>
      </c>
      <c r="J94" s="68"/>
    </row>
    <row r="95" spans="1:10" x14ac:dyDescent="0.25">
      <c r="A95" s="111"/>
      <c r="B95" s="24">
        <v>842688</v>
      </c>
      <c r="C95" s="70">
        <v>7500</v>
      </c>
      <c r="D95" s="71" t="s">
        <v>150</v>
      </c>
      <c r="E95" s="8">
        <v>199.20759999999999</v>
      </c>
      <c r="F95" s="8">
        <f t="shared" si="2"/>
        <v>181.09781818181816</v>
      </c>
      <c r="G95" s="8">
        <f t="shared" si="3"/>
        <v>170.8469982847341</v>
      </c>
      <c r="H95" s="8">
        <v>148.208</v>
      </c>
      <c r="I95" s="8">
        <v>0</v>
      </c>
      <c r="J95" s="68"/>
    </row>
    <row r="96" spans="1:10" x14ac:dyDescent="0.25">
      <c r="A96" s="111"/>
      <c r="B96" s="24">
        <v>842689</v>
      </c>
      <c r="C96" s="70">
        <v>7500</v>
      </c>
      <c r="D96" s="71" t="s">
        <v>151</v>
      </c>
      <c r="E96" s="8">
        <v>199.20759999999999</v>
      </c>
      <c r="F96" s="8">
        <f t="shared" si="2"/>
        <v>181.09781818181816</v>
      </c>
      <c r="G96" s="8">
        <f t="shared" si="3"/>
        <v>170.8469982847341</v>
      </c>
      <c r="H96" s="8">
        <v>148.208</v>
      </c>
      <c r="I96" s="8">
        <v>0</v>
      </c>
      <c r="J96" s="68"/>
    </row>
    <row r="97" spans="1:10" ht="15.75" thickBot="1" x14ac:dyDescent="0.3">
      <c r="A97" s="112"/>
      <c r="B97" s="80">
        <v>842690</v>
      </c>
      <c r="C97" s="73">
        <v>7500</v>
      </c>
      <c r="D97" s="74" t="s">
        <v>152</v>
      </c>
      <c r="E97" s="8">
        <v>199.20759999999999</v>
      </c>
      <c r="F97" s="8">
        <f t="shared" si="2"/>
        <v>181.09781818181816</v>
      </c>
      <c r="G97" s="8">
        <f t="shared" si="3"/>
        <v>170.8469982847341</v>
      </c>
      <c r="H97" s="8">
        <v>148.208</v>
      </c>
      <c r="I97" s="8">
        <v>0</v>
      </c>
      <c r="J97" s="68"/>
    </row>
    <row r="98" spans="1:10" x14ac:dyDescent="0.25">
      <c r="A98" s="103" t="s">
        <v>153</v>
      </c>
      <c r="B98" s="76">
        <v>842591</v>
      </c>
      <c r="C98" s="66">
        <v>30000</v>
      </c>
      <c r="D98" s="67" t="s">
        <v>154</v>
      </c>
      <c r="E98" s="8">
        <v>147.58573900471771</v>
      </c>
      <c r="F98" s="8">
        <f t="shared" si="2"/>
        <v>134.16885364065246</v>
      </c>
      <c r="G98" s="8">
        <f t="shared" si="3"/>
        <v>126.57439022703062</v>
      </c>
      <c r="H98" s="8">
        <v>109.80378981950997</v>
      </c>
      <c r="I98" s="8">
        <v>0</v>
      </c>
      <c r="J98" s="68"/>
    </row>
    <row r="99" spans="1:10" x14ac:dyDescent="0.25">
      <c r="A99" s="104"/>
      <c r="B99" s="24">
        <v>842592</v>
      </c>
      <c r="C99" s="70">
        <v>18000</v>
      </c>
      <c r="D99" s="71" t="s">
        <v>155</v>
      </c>
      <c r="E99" s="8">
        <v>277.01122683001063</v>
      </c>
      <c r="F99" s="8">
        <f t="shared" si="2"/>
        <v>251.82838802728236</v>
      </c>
      <c r="G99" s="8">
        <f t="shared" si="3"/>
        <v>237.5739509691343</v>
      </c>
      <c r="H99" s="8">
        <v>206.0963527615279</v>
      </c>
      <c r="I99" s="8">
        <v>0</v>
      </c>
      <c r="J99" s="68"/>
    </row>
    <row r="100" spans="1:10" x14ac:dyDescent="0.25">
      <c r="A100" s="104"/>
      <c r="B100" s="24">
        <v>842593</v>
      </c>
      <c r="C100" s="70">
        <v>18000</v>
      </c>
      <c r="D100" s="71" t="s">
        <v>156</v>
      </c>
      <c r="E100" s="8">
        <v>277.01122683001063</v>
      </c>
      <c r="F100" s="8">
        <f t="shared" si="2"/>
        <v>251.82838802728236</v>
      </c>
      <c r="G100" s="8">
        <f t="shared" si="3"/>
        <v>237.5739509691343</v>
      </c>
      <c r="H100" s="8">
        <v>206.0963527615279</v>
      </c>
      <c r="I100" s="8">
        <v>0</v>
      </c>
      <c r="J100" s="68"/>
    </row>
    <row r="101" spans="1:10" ht="15.75" thickBot="1" x14ac:dyDescent="0.3">
      <c r="A101" s="105"/>
      <c r="B101" s="80">
        <v>842594</v>
      </c>
      <c r="C101" s="73">
        <v>18000</v>
      </c>
      <c r="D101" s="74" t="s">
        <v>157</v>
      </c>
      <c r="E101" s="8">
        <v>277.01122683001063</v>
      </c>
      <c r="F101" s="8">
        <f t="shared" si="2"/>
        <v>251.82838802728236</v>
      </c>
      <c r="G101" s="8">
        <f t="shared" si="3"/>
        <v>237.5739509691343</v>
      </c>
      <c r="H101" s="8">
        <v>206.0963527615279</v>
      </c>
      <c r="I101" s="8">
        <v>0</v>
      </c>
      <c r="J101" s="68"/>
    </row>
    <row r="102" spans="1:10" x14ac:dyDescent="0.25">
      <c r="A102" s="103" t="s">
        <v>158</v>
      </c>
      <c r="B102" s="76">
        <v>842518</v>
      </c>
      <c r="C102" s="66">
        <v>40000</v>
      </c>
      <c r="D102" s="67" t="s">
        <v>159</v>
      </c>
      <c r="E102" s="8">
        <v>169.71624752701263</v>
      </c>
      <c r="F102" s="8">
        <f t="shared" si="2"/>
        <v>154.28749775182965</v>
      </c>
      <c r="G102" s="8">
        <f t="shared" si="3"/>
        <v>145.55424316210343</v>
      </c>
      <c r="H102" s="8">
        <v>126.26888816009739</v>
      </c>
      <c r="I102" s="8">
        <v>0</v>
      </c>
      <c r="J102" s="68"/>
    </row>
    <row r="103" spans="1:10" x14ac:dyDescent="0.25">
      <c r="A103" s="104"/>
      <c r="B103" s="24">
        <v>842519</v>
      </c>
      <c r="C103" s="70">
        <v>28000</v>
      </c>
      <c r="D103" s="71" t="s">
        <v>160</v>
      </c>
      <c r="E103" s="8">
        <v>258.63040579820421</v>
      </c>
      <c r="F103" s="8">
        <f t="shared" si="2"/>
        <v>235.11855072564018</v>
      </c>
      <c r="G103" s="8">
        <f t="shared" si="3"/>
        <v>221.80995351475488</v>
      </c>
      <c r="H103" s="8">
        <v>192.42102191386394</v>
      </c>
      <c r="I103" s="8">
        <v>0</v>
      </c>
      <c r="J103" s="68"/>
    </row>
    <row r="104" spans="1:10" x14ac:dyDescent="0.25">
      <c r="A104" s="104"/>
      <c r="B104" s="24">
        <v>842520</v>
      </c>
      <c r="C104" s="70">
        <v>28000</v>
      </c>
      <c r="D104" s="71" t="s">
        <v>161</v>
      </c>
      <c r="E104" s="8">
        <v>258.63040579820421</v>
      </c>
      <c r="F104" s="8">
        <f t="shared" si="2"/>
        <v>235.11855072564018</v>
      </c>
      <c r="G104" s="8">
        <f t="shared" si="3"/>
        <v>221.80995351475488</v>
      </c>
      <c r="H104" s="8">
        <v>192.42102191386394</v>
      </c>
      <c r="I104" s="8">
        <v>0</v>
      </c>
      <c r="J104" s="68"/>
    </row>
    <row r="105" spans="1:10" ht="15.75" thickBot="1" x14ac:dyDescent="0.3">
      <c r="A105" s="105"/>
      <c r="B105" s="80">
        <v>842521</v>
      </c>
      <c r="C105" s="73">
        <v>28000</v>
      </c>
      <c r="D105" s="74" t="s">
        <v>162</v>
      </c>
      <c r="E105" s="8">
        <v>258.63040579820421</v>
      </c>
      <c r="F105" s="8">
        <f t="shared" si="2"/>
        <v>235.11855072564018</v>
      </c>
      <c r="G105" s="8">
        <f t="shared" si="3"/>
        <v>221.80995351475488</v>
      </c>
      <c r="H105" s="8">
        <v>192.42102191386394</v>
      </c>
      <c r="I105" s="8">
        <v>0</v>
      </c>
      <c r="J105" s="68"/>
    </row>
    <row r="106" spans="1:10" x14ac:dyDescent="0.25">
      <c r="A106" s="107" t="s">
        <v>163</v>
      </c>
      <c r="B106" s="76">
        <v>842542</v>
      </c>
      <c r="C106" s="66">
        <v>42000</v>
      </c>
      <c r="D106" s="67" t="s">
        <v>164</v>
      </c>
      <c r="E106" s="8">
        <v>140.60102701263122</v>
      </c>
      <c r="F106" s="8">
        <f t="shared" si="2"/>
        <v>127.81911546602838</v>
      </c>
      <c r="G106" s="8">
        <f t="shared" si="3"/>
        <v>120.58407119436639</v>
      </c>
      <c r="H106" s="8">
        <v>104.60716409739763</v>
      </c>
      <c r="I106" s="8">
        <v>0</v>
      </c>
      <c r="J106" s="68"/>
    </row>
    <row r="107" spans="1:10" x14ac:dyDescent="0.25">
      <c r="A107" s="108"/>
      <c r="B107" s="24">
        <v>842543</v>
      </c>
      <c r="C107" s="70">
        <v>28000</v>
      </c>
      <c r="D107" s="71" t="s">
        <v>165</v>
      </c>
      <c r="E107" s="8">
        <v>242.70036090397195</v>
      </c>
      <c r="F107" s="8">
        <f t="shared" si="2"/>
        <v>220.63669173088357</v>
      </c>
      <c r="G107" s="8">
        <f t="shared" si="3"/>
        <v>208.14782238762601</v>
      </c>
      <c r="H107" s="8">
        <v>180.56906851255513</v>
      </c>
      <c r="I107" s="8">
        <v>0</v>
      </c>
      <c r="J107" s="68"/>
    </row>
    <row r="108" spans="1:10" x14ac:dyDescent="0.25">
      <c r="A108" s="108"/>
      <c r="B108" s="24">
        <v>842544</v>
      </c>
      <c r="C108" s="70">
        <v>28000</v>
      </c>
      <c r="D108" s="71" t="s">
        <v>166</v>
      </c>
      <c r="E108" s="8">
        <v>242.70036090397195</v>
      </c>
      <c r="F108" s="8">
        <f t="shared" si="2"/>
        <v>220.63669173088357</v>
      </c>
      <c r="G108" s="8">
        <f t="shared" si="3"/>
        <v>208.14782238762601</v>
      </c>
      <c r="H108" s="8">
        <v>180.56906851255513</v>
      </c>
      <c r="I108" s="8">
        <v>0</v>
      </c>
      <c r="J108" s="68"/>
    </row>
    <row r="109" spans="1:10" ht="15.75" thickBot="1" x14ac:dyDescent="0.3">
      <c r="A109" s="109"/>
      <c r="B109" s="80">
        <v>842545</v>
      </c>
      <c r="C109" s="73">
        <v>28000</v>
      </c>
      <c r="D109" s="74" t="s">
        <v>167</v>
      </c>
      <c r="E109" s="8">
        <v>242.70036090397195</v>
      </c>
      <c r="F109" s="8">
        <f t="shared" si="2"/>
        <v>220.63669173088357</v>
      </c>
      <c r="G109" s="8">
        <f t="shared" si="3"/>
        <v>208.14782238762601</v>
      </c>
      <c r="H109" s="8">
        <v>180.56906851255513</v>
      </c>
      <c r="I109" s="8">
        <v>0</v>
      </c>
      <c r="J109" s="68"/>
    </row>
    <row r="110" spans="1:10" x14ac:dyDescent="0.25">
      <c r="A110" s="103" t="s">
        <v>168</v>
      </c>
      <c r="B110" s="76">
        <v>821255</v>
      </c>
      <c r="C110" s="66">
        <v>34400</v>
      </c>
      <c r="D110" s="81" t="s">
        <v>169</v>
      </c>
      <c r="E110" s="8">
        <v>243.07999999999998</v>
      </c>
      <c r="F110" s="8">
        <f t="shared" si="2"/>
        <v>220.98181818181814</v>
      </c>
      <c r="G110" s="8">
        <f t="shared" si="3"/>
        <v>208.47341337907372</v>
      </c>
      <c r="H110" s="8">
        <v>180.85151999999999</v>
      </c>
      <c r="I110" s="8">
        <v>0</v>
      </c>
      <c r="J110" s="68"/>
    </row>
    <row r="111" spans="1:10" x14ac:dyDescent="0.25">
      <c r="A111" s="104"/>
      <c r="B111" s="24">
        <v>821256</v>
      </c>
      <c r="C111" s="70">
        <v>27200</v>
      </c>
      <c r="D111" s="82" t="s">
        <v>170</v>
      </c>
      <c r="E111" s="8">
        <v>409.10599999999994</v>
      </c>
      <c r="F111" s="8">
        <f t="shared" si="2"/>
        <v>371.91454545454536</v>
      </c>
      <c r="G111" s="8">
        <f t="shared" si="3"/>
        <v>350.86277873070316</v>
      </c>
      <c r="H111" s="8">
        <v>304.37486399999995</v>
      </c>
      <c r="I111" s="8">
        <v>0</v>
      </c>
      <c r="J111" s="68"/>
    </row>
    <row r="112" spans="1:10" x14ac:dyDescent="0.25">
      <c r="A112" s="104"/>
      <c r="B112" s="24">
        <v>821257</v>
      </c>
      <c r="C112" s="70">
        <v>27200</v>
      </c>
      <c r="D112" s="82" t="s">
        <v>171</v>
      </c>
      <c r="E112" s="8">
        <v>409.10599999999994</v>
      </c>
      <c r="F112" s="8">
        <f t="shared" si="2"/>
        <v>371.91454545454536</v>
      </c>
      <c r="G112" s="8">
        <f t="shared" si="3"/>
        <v>350.86277873070316</v>
      </c>
      <c r="H112" s="8">
        <v>304.37486399999995</v>
      </c>
      <c r="I112" s="8">
        <v>0</v>
      </c>
      <c r="J112" s="68"/>
    </row>
    <row r="113" spans="1:10" ht="15.75" thickBot="1" x14ac:dyDescent="0.3">
      <c r="A113" s="105"/>
      <c r="B113" s="80">
        <v>821258</v>
      </c>
      <c r="C113" s="73">
        <v>27200</v>
      </c>
      <c r="D113" s="83" t="s">
        <v>172</v>
      </c>
      <c r="E113" s="8">
        <v>409.10599999999994</v>
      </c>
      <c r="F113" s="8">
        <f t="shared" si="2"/>
        <v>371.91454545454536</v>
      </c>
      <c r="G113" s="8">
        <f t="shared" si="3"/>
        <v>350.86277873070316</v>
      </c>
      <c r="H113" s="8">
        <v>304.37486399999995</v>
      </c>
      <c r="I113" s="8">
        <v>0</v>
      </c>
      <c r="J113" s="68"/>
    </row>
    <row r="114" spans="1:10" x14ac:dyDescent="0.25">
      <c r="A114" s="103" t="s">
        <v>173</v>
      </c>
      <c r="B114" s="76">
        <v>828422</v>
      </c>
      <c r="C114" s="66">
        <v>33000</v>
      </c>
      <c r="D114" s="81" t="s">
        <v>174</v>
      </c>
      <c r="E114" s="8">
        <v>184.07999999999998</v>
      </c>
      <c r="F114" s="8">
        <f t="shared" si="2"/>
        <v>167.34545454545452</v>
      </c>
      <c r="G114" s="8">
        <f t="shared" si="3"/>
        <v>157.87307032590047</v>
      </c>
      <c r="H114" s="8">
        <v>136.2192</v>
      </c>
      <c r="I114" s="8">
        <v>0</v>
      </c>
      <c r="J114" s="10"/>
    </row>
    <row r="115" spans="1:10" x14ac:dyDescent="0.25">
      <c r="A115" s="104"/>
      <c r="B115" s="24">
        <v>828423</v>
      </c>
      <c r="C115" s="70">
        <v>24000</v>
      </c>
      <c r="D115" s="82" t="s">
        <v>175</v>
      </c>
      <c r="E115" s="8">
        <v>244.26</v>
      </c>
      <c r="F115" s="8">
        <f t="shared" si="2"/>
        <v>222.05454545454543</v>
      </c>
      <c r="G115" s="8">
        <f t="shared" si="3"/>
        <v>209.48542024013719</v>
      </c>
      <c r="H115" s="8">
        <v>180.75239999999999</v>
      </c>
      <c r="I115" s="8">
        <v>0</v>
      </c>
      <c r="J115" s="10"/>
    </row>
    <row r="116" spans="1:10" x14ac:dyDescent="0.25">
      <c r="A116" s="104"/>
      <c r="B116" s="24">
        <v>828424</v>
      </c>
      <c r="C116" s="70">
        <v>24000</v>
      </c>
      <c r="D116" s="82" t="s">
        <v>176</v>
      </c>
      <c r="E116" s="8">
        <v>244.26</v>
      </c>
      <c r="F116" s="8">
        <f t="shared" si="2"/>
        <v>222.05454545454543</v>
      </c>
      <c r="G116" s="8">
        <f t="shared" si="3"/>
        <v>209.48542024013719</v>
      </c>
      <c r="H116" s="8">
        <v>180.75239999999999</v>
      </c>
      <c r="I116" s="8">
        <v>0</v>
      </c>
      <c r="J116" s="10"/>
    </row>
    <row r="117" spans="1:10" ht="15.75" thickBot="1" x14ac:dyDescent="0.3">
      <c r="A117" s="105"/>
      <c r="B117" s="80">
        <v>828425</v>
      </c>
      <c r="C117" s="73">
        <v>24000</v>
      </c>
      <c r="D117" s="83" t="s">
        <v>177</v>
      </c>
      <c r="E117" s="8">
        <v>244.26</v>
      </c>
      <c r="F117" s="8">
        <f t="shared" si="2"/>
        <v>222.05454545454543</v>
      </c>
      <c r="G117" s="8">
        <f t="shared" si="3"/>
        <v>209.48542024013719</v>
      </c>
      <c r="H117" s="8">
        <v>180.75239999999999</v>
      </c>
      <c r="I117" s="8">
        <v>0</v>
      </c>
      <c r="J117" s="10"/>
    </row>
    <row r="118" spans="1:10" x14ac:dyDescent="0.25">
      <c r="A118" s="103" t="s">
        <v>178</v>
      </c>
      <c r="B118" s="76">
        <v>828597</v>
      </c>
      <c r="C118" s="66">
        <v>31000</v>
      </c>
      <c r="D118" s="81" t="s">
        <v>179</v>
      </c>
      <c r="E118" s="8">
        <v>154.36103092783503</v>
      </c>
      <c r="F118" s="8">
        <f t="shared" si="2"/>
        <v>140.32820993439546</v>
      </c>
      <c r="G118" s="8">
        <f t="shared" si="3"/>
        <v>132.38510371169383</v>
      </c>
      <c r="H118" s="8">
        <v>114.22716288659792</v>
      </c>
      <c r="I118" s="8">
        <v>0</v>
      </c>
      <c r="J118" s="84"/>
    </row>
    <row r="119" spans="1:10" x14ac:dyDescent="0.25">
      <c r="A119" s="104"/>
      <c r="B119" s="24">
        <v>828598</v>
      </c>
      <c r="C119" s="70">
        <v>26000</v>
      </c>
      <c r="D119" s="82" t="s">
        <v>180</v>
      </c>
      <c r="E119" s="8">
        <v>204.78474226804124</v>
      </c>
      <c r="F119" s="8">
        <f t="shared" si="2"/>
        <v>186.16794751640111</v>
      </c>
      <c r="G119" s="8">
        <f t="shared" si="3"/>
        <v>175.63013916641614</v>
      </c>
      <c r="H119" s="8">
        <v>151.54070927835053</v>
      </c>
      <c r="I119" s="8">
        <v>0</v>
      </c>
      <c r="J119" s="84"/>
    </row>
    <row r="120" spans="1:10" x14ac:dyDescent="0.25">
      <c r="A120" s="104"/>
      <c r="B120" s="24">
        <v>828599</v>
      </c>
      <c r="C120" s="70">
        <v>26000</v>
      </c>
      <c r="D120" s="82" t="s">
        <v>181</v>
      </c>
      <c r="E120" s="8">
        <v>204.78474226804124</v>
      </c>
      <c r="F120" s="8">
        <f t="shared" si="2"/>
        <v>186.16794751640111</v>
      </c>
      <c r="G120" s="8">
        <f t="shared" si="3"/>
        <v>175.63013916641614</v>
      </c>
      <c r="H120" s="8">
        <v>151.54070927835053</v>
      </c>
      <c r="I120" s="8">
        <v>0</v>
      </c>
      <c r="J120" s="84"/>
    </row>
    <row r="121" spans="1:10" ht="15.75" thickBot="1" x14ac:dyDescent="0.3">
      <c r="A121" s="105"/>
      <c r="B121" s="80">
        <v>828600</v>
      </c>
      <c r="C121" s="73">
        <v>26000</v>
      </c>
      <c r="D121" s="83" t="s">
        <v>182</v>
      </c>
      <c r="E121" s="8">
        <v>204.78474226804124</v>
      </c>
      <c r="F121" s="8">
        <f t="shared" si="2"/>
        <v>186.16794751640111</v>
      </c>
      <c r="G121" s="8">
        <f t="shared" si="3"/>
        <v>175.63013916641614</v>
      </c>
      <c r="H121" s="8">
        <v>151.54070927835053</v>
      </c>
      <c r="I121" s="8">
        <v>0</v>
      </c>
      <c r="J121" s="10"/>
    </row>
    <row r="122" spans="1:10" x14ac:dyDescent="0.25">
      <c r="A122" s="108" t="s">
        <v>183</v>
      </c>
      <c r="B122" s="85">
        <v>828719</v>
      </c>
      <c r="C122" s="86">
        <v>34000</v>
      </c>
      <c r="D122" s="87" t="s">
        <v>184</v>
      </c>
      <c r="E122" s="8">
        <v>154.22244078526859</v>
      </c>
      <c r="F122" s="8">
        <f t="shared" si="2"/>
        <v>140.20221889569871</v>
      </c>
      <c r="G122" s="8">
        <f t="shared" si="3"/>
        <v>132.26624424122519</v>
      </c>
      <c r="H122" s="8">
        <v>114.12460618109876</v>
      </c>
      <c r="I122" s="8">
        <v>0</v>
      </c>
      <c r="J122" s="84"/>
    </row>
    <row r="123" spans="1:10" x14ac:dyDescent="0.25">
      <c r="A123" s="108"/>
      <c r="B123" s="24">
        <v>828720</v>
      </c>
      <c r="C123" s="70">
        <v>30000</v>
      </c>
      <c r="D123" s="82" t="s">
        <v>185</v>
      </c>
      <c r="E123" s="8">
        <v>204.59275258560336</v>
      </c>
      <c r="F123" s="8">
        <f t="shared" si="2"/>
        <v>185.9934114414576</v>
      </c>
      <c r="G123" s="8">
        <f t="shared" si="3"/>
        <v>175.46548249194112</v>
      </c>
      <c r="H123" s="8">
        <v>151.39863691334648</v>
      </c>
      <c r="I123" s="8">
        <v>0</v>
      </c>
      <c r="J123" s="84"/>
    </row>
    <row r="124" spans="1:10" x14ac:dyDescent="0.25">
      <c r="A124" s="108"/>
      <c r="B124" s="24">
        <v>828721</v>
      </c>
      <c r="C124" s="70">
        <v>30000</v>
      </c>
      <c r="D124" s="82" t="s">
        <v>186</v>
      </c>
      <c r="E124" s="8">
        <v>204.59275258560336</v>
      </c>
      <c r="F124" s="8">
        <f t="shared" si="2"/>
        <v>185.9934114414576</v>
      </c>
      <c r="G124" s="8">
        <f t="shared" si="3"/>
        <v>175.46548249194112</v>
      </c>
      <c r="H124" s="8">
        <v>151.39863691334648</v>
      </c>
      <c r="I124" s="8">
        <v>0</v>
      </c>
      <c r="J124" s="84"/>
    </row>
    <row r="125" spans="1:10" ht="15.75" thickBot="1" x14ac:dyDescent="0.3">
      <c r="A125" s="109"/>
      <c r="B125" s="80">
        <v>828722</v>
      </c>
      <c r="C125" s="73">
        <v>30000</v>
      </c>
      <c r="D125" s="83" t="s">
        <v>187</v>
      </c>
      <c r="E125" s="8">
        <v>204.59275258560336</v>
      </c>
      <c r="F125" s="8">
        <f t="shared" si="2"/>
        <v>185.9934114414576</v>
      </c>
      <c r="G125" s="8">
        <f t="shared" si="3"/>
        <v>175.46548249194112</v>
      </c>
      <c r="H125" s="8">
        <v>151.39863691334648</v>
      </c>
      <c r="I125" s="8">
        <v>0</v>
      </c>
      <c r="J125" s="84"/>
    </row>
    <row r="126" spans="1:10" x14ac:dyDescent="0.25">
      <c r="A126" s="103" t="s">
        <v>188</v>
      </c>
      <c r="B126" s="76">
        <v>828528</v>
      </c>
      <c r="C126" s="66">
        <v>78750</v>
      </c>
      <c r="D126" s="81" t="s">
        <v>189</v>
      </c>
      <c r="E126" s="8">
        <v>182.59791999999999</v>
      </c>
      <c r="F126" s="8">
        <f t="shared" si="2"/>
        <v>165.99810909090905</v>
      </c>
      <c r="G126" s="8">
        <f t="shared" si="3"/>
        <v>156.60198970840477</v>
      </c>
      <c r="H126" s="8">
        <v>135.85285248</v>
      </c>
      <c r="I126" s="8">
        <v>0</v>
      </c>
      <c r="J126" s="10"/>
    </row>
    <row r="127" spans="1:10" x14ac:dyDescent="0.25">
      <c r="A127" s="104"/>
      <c r="B127" s="24">
        <v>828529</v>
      </c>
      <c r="C127" s="70">
        <v>78750</v>
      </c>
      <c r="D127" s="82" t="s">
        <v>190</v>
      </c>
      <c r="E127" s="8">
        <v>278.02215999999999</v>
      </c>
      <c r="F127" s="8">
        <f t="shared" si="2"/>
        <v>252.74741818181815</v>
      </c>
      <c r="G127" s="8">
        <f t="shared" si="3"/>
        <v>238.44096054888504</v>
      </c>
      <c r="H127" s="8">
        <v>206.84848703999998</v>
      </c>
      <c r="I127" s="8">
        <v>0</v>
      </c>
      <c r="J127" s="10"/>
    </row>
    <row r="128" spans="1:10" x14ac:dyDescent="0.25">
      <c r="A128" s="104"/>
      <c r="B128" s="24">
        <v>828530</v>
      </c>
      <c r="C128" s="70">
        <v>78750</v>
      </c>
      <c r="D128" s="82" t="s">
        <v>191</v>
      </c>
      <c r="E128" s="8">
        <v>278.02215999999999</v>
      </c>
      <c r="F128" s="8">
        <f t="shared" si="2"/>
        <v>252.74741818181815</v>
      </c>
      <c r="G128" s="8">
        <f t="shared" si="3"/>
        <v>238.44096054888504</v>
      </c>
      <c r="H128" s="8">
        <v>206.84848703999998</v>
      </c>
      <c r="I128" s="8">
        <v>0</v>
      </c>
      <c r="J128" s="10"/>
    </row>
    <row r="129" spans="1:10" x14ac:dyDescent="0.25">
      <c r="A129" s="104"/>
      <c r="B129" s="24">
        <v>828531</v>
      </c>
      <c r="C129" s="70">
        <v>78750</v>
      </c>
      <c r="D129" s="82" t="s">
        <v>192</v>
      </c>
      <c r="E129" s="8">
        <v>278.02215999999999</v>
      </c>
      <c r="F129" s="8">
        <f t="shared" si="2"/>
        <v>252.74741818181815</v>
      </c>
      <c r="G129" s="8">
        <f t="shared" si="3"/>
        <v>238.44096054888504</v>
      </c>
      <c r="H129" s="8">
        <v>206.84848703999998</v>
      </c>
      <c r="I129" s="8">
        <v>0</v>
      </c>
      <c r="J129" s="10"/>
    </row>
    <row r="130" spans="1:10" x14ac:dyDescent="0.25">
      <c r="A130" s="104"/>
      <c r="B130" s="24">
        <v>828342</v>
      </c>
      <c r="C130" s="70">
        <v>19000</v>
      </c>
      <c r="D130" s="82" t="s">
        <v>193</v>
      </c>
      <c r="E130" s="8">
        <v>729.7002</v>
      </c>
      <c r="F130" s="8">
        <f t="shared" si="2"/>
        <v>663.36381818181815</v>
      </c>
      <c r="G130" s="8">
        <f t="shared" si="3"/>
        <v>625.81492281303599</v>
      </c>
      <c r="H130" s="8">
        <v>542.89622997043375</v>
      </c>
      <c r="I130" s="8">
        <v>0</v>
      </c>
      <c r="J130" s="84"/>
    </row>
    <row r="131" spans="1:10" x14ac:dyDescent="0.25">
      <c r="A131" s="104"/>
      <c r="B131" s="24">
        <v>828478</v>
      </c>
      <c r="C131" s="70">
        <v>30500</v>
      </c>
      <c r="D131" s="82" t="s">
        <v>194</v>
      </c>
      <c r="E131" s="8">
        <v>729.7002</v>
      </c>
      <c r="F131" s="8">
        <f t="shared" ref="F131:F187" si="4">E131/1.1</f>
        <v>663.36381818181815</v>
      </c>
      <c r="G131" s="8">
        <f t="shared" ref="G131:G187" si="5">F131/1.06</f>
        <v>625.81492281303599</v>
      </c>
      <c r="H131" s="8">
        <v>542.89622997043375</v>
      </c>
      <c r="I131" s="8">
        <v>0</v>
      </c>
      <c r="J131" s="84"/>
    </row>
    <row r="132" spans="1:10" x14ac:dyDescent="0.25">
      <c r="A132" s="104"/>
      <c r="B132" s="24">
        <v>828489</v>
      </c>
      <c r="C132" s="70">
        <v>29200</v>
      </c>
      <c r="D132" s="82" t="s">
        <v>195</v>
      </c>
      <c r="E132" s="8">
        <v>695.49199999999996</v>
      </c>
      <c r="F132" s="8">
        <f t="shared" si="4"/>
        <v>632.26545454545442</v>
      </c>
      <c r="G132" s="8">
        <f t="shared" si="5"/>
        <v>596.476843910806</v>
      </c>
      <c r="H132" s="8">
        <v>517.44826264037727</v>
      </c>
      <c r="I132" s="8">
        <v>0</v>
      </c>
      <c r="J132" s="84"/>
    </row>
    <row r="133" spans="1:10" x14ac:dyDescent="0.25">
      <c r="A133" s="104"/>
      <c r="B133" s="24">
        <v>828527</v>
      </c>
      <c r="C133" s="70">
        <v>29200</v>
      </c>
      <c r="D133" s="82" t="s">
        <v>196</v>
      </c>
      <c r="E133" s="8">
        <v>695.49199999999996</v>
      </c>
      <c r="F133" s="8">
        <f t="shared" si="4"/>
        <v>632.26545454545442</v>
      </c>
      <c r="G133" s="8">
        <f t="shared" si="5"/>
        <v>596.476843910806</v>
      </c>
      <c r="H133" s="8">
        <v>517.44826264037727</v>
      </c>
      <c r="I133" s="8">
        <v>0</v>
      </c>
      <c r="J133" s="84"/>
    </row>
    <row r="134" spans="1:10" ht="15.75" thickBot="1" x14ac:dyDescent="0.3">
      <c r="A134" s="106"/>
      <c r="B134" s="77">
        <v>828537</v>
      </c>
      <c r="C134" s="78">
        <v>21500</v>
      </c>
      <c r="D134" s="88" t="s">
        <v>197</v>
      </c>
      <c r="E134" s="8">
        <v>985.08759999999995</v>
      </c>
      <c r="F134" s="8">
        <f t="shared" si="4"/>
        <v>895.53418181818165</v>
      </c>
      <c r="G134" s="8">
        <f t="shared" si="5"/>
        <v>844.84356775300148</v>
      </c>
      <c r="H134" s="8">
        <v>732.9014591056216</v>
      </c>
      <c r="I134" s="8">
        <v>0</v>
      </c>
      <c r="J134" s="84"/>
    </row>
    <row r="135" spans="1:10" x14ac:dyDescent="0.25">
      <c r="A135" s="100" t="s">
        <v>198</v>
      </c>
      <c r="B135" s="89">
        <v>828647</v>
      </c>
      <c r="C135" s="90">
        <v>67000</v>
      </c>
      <c r="D135" s="91" t="s">
        <v>199</v>
      </c>
      <c r="E135" s="8">
        <v>188.36322284735962</v>
      </c>
      <c r="F135" s="8">
        <f t="shared" si="4"/>
        <v>171.23929349759965</v>
      </c>
      <c r="G135" s="8">
        <f t="shared" si="5"/>
        <v>161.54650329962229</v>
      </c>
      <c r="H135" s="8">
        <v>139.38878490704613</v>
      </c>
      <c r="I135" s="8">
        <v>0</v>
      </c>
      <c r="J135" s="84"/>
    </row>
    <row r="136" spans="1:10" x14ac:dyDescent="0.25">
      <c r="A136" s="101"/>
      <c r="B136" s="92">
        <v>828648</v>
      </c>
      <c r="C136" s="93">
        <v>67000</v>
      </c>
      <c r="D136" s="94" t="s">
        <v>200</v>
      </c>
      <c r="E136" s="8">
        <v>286.40701238624257</v>
      </c>
      <c r="F136" s="8">
        <f t="shared" si="4"/>
        <v>260.37001126022051</v>
      </c>
      <c r="G136" s="8">
        <f t="shared" si="5"/>
        <v>245.63208609454765</v>
      </c>
      <c r="H136" s="8">
        <v>211.94118916581948</v>
      </c>
      <c r="I136" s="8">
        <v>0</v>
      </c>
      <c r="J136" s="84"/>
    </row>
    <row r="137" spans="1:10" x14ac:dyDescent="0.25">
      <c r="A137" s="101"/>
      <c r="B137" s="92">
        <v>828649</v>
      </c>
      <c r="C137" s="93">
        <v>67000</v>
      </c>
      <c r="D137" s="94" t="s">
        <v>201</v>
      </c>
      <c r="E137" s="8">
        <v>286.40701238624257</v>
      </c>
      <c r="F137" s="8">
        <f t="shared" si="4"/>
        <v>260.37001126022051</v>
      </c>
      <c r="G137" s="8">
        <f t="shared" si="5"/>
        <v>245.63208609454765</v>
      </c>
      <c r="H137" s="8">
        <v>211.94118916581948</v>
      </c>
      <c r="I137" s="8">
        <v>0</v>
      </c>
      <c r="J137" s="84"/>
    </row>
    <row r="138" spans="1:10" x14ac:dyDescent="0.25">
      <c r="A138" s="101"/>
      <c r="B138" s="92">
        <v>828650</v>
      </c>
      <c r="C138" s="93">
        <v>67000</v>
      </c>
      <c r="D138" s="94" t="s">
        <v>202</v>
      </c>
      <c r="E138" s="8">
        <v>286.40701238624257</v>
      </c>
      <c r="F138" s="8">
        <f t="shared" si="4"/>
        <v>260.37001126022051</v>
      </c>
      <c r="G138" s="8">
        <f t="shared" si="5"/>
        <v>245.63208609454765</v>
      </c>
      <c r="H138" s="8">
        <v>211.94118916581948</v>
      </c>
      <c r="I138" s="8">
        <v>0</v>
      </c>
      <c r="J138" s="84"/>
    </row>
    <row r="139" spans="1:10" x14ac:dyDescent="0.25">
      <c r="A139" s="101"/>
      <c r="B139" s="92">
        <v>828478</v>
      </c>
      <c r="C139" s="93">
        <v>30500</v>
      </c>
      <c r="D139" s="94" t="s">
        <v>203</v>
      </c>
      <c r="E139" s="8">
        <v>729.7002</v>
      </c>
      <c r="F139" s="8">
        <f t="shared" si="4"/>
        <v>663.36381818181815</v>
      </c>
      <c r="G139" s="8">
        <f t="shared" si="5"/>
        <v>625.81492281303599</v>
      </c>
      <c r="H139" s="8">
        <v>542.89622997043375</v>
      </c>
      <c r="I139" s="8">
        <v>0</v>
      </c>
      <c r="J139" s="84"/>
    </row>
    <row r="140" spans="1:10" x14ac:dyDescent="0.25">
      <c r="A140" s="101"/>
      <c r="B140" s="92">
        <v>828342</v>
      </c>
      <c r="C140" s="93">
        <v>19000</v>
      </c>
      <c r="D140" s="94" t="s">
        <v>204</v>
      </c>
      <c r="E140" s="8">
        <v>729.7002</v>
      </c>
      <c r="F140" s="8">
        <f t="shared" si="4"/>
        <v>663.36381818181815</v>
      </c>
      <c r="G140" s="8">
        <f t="shared" si="5"/>
        <v>625.81492281303599</v>
      </c>
      <c r="H140" s="8">
        <v>542.89622997043375</v>
      </c>
      <c r="I140" s="8">
        <v>0</v>
      </c>
      <c r="J140" s="84"/>
    </row>
    <row r="141" spans="1:10" x14ac:dyDescent="0.25">
      <c r="A141" s="101"/>
      <c r="B141" s="92">
        <v>828489</v>
      </c>
      <c r="C141" s="93">
        <v>29200</v>
      </c>
      <c r="D141" s="94" t="s">
        <v>205</v>
      </c>
      <c r="E141" s="8">
        <v>695.49199999999996</v>
      </c>
      <c r="F141" s="8">
        <f t="shared" si="4"/>
        <v>632.26545454545442</v>
      </c>
      <c r="G141" s="8">
        <f t="shared" si="5"/>
        <v>596.476843910806</v>
      </c>
      <c r="H141" s="8">
        <v>517.44826264037727</v>
      </c>
      <c r="I141" s="8">
        <v>0</v>
      </c>
      <c r="J141" s="84"/>
    </row>
    <row r="142" spans="1:10" x14ac:dyDescent="0.25">
      <c r="A142" s="101"/>
      <c r="B142" s="92">
        <v>828527</v>
      </c>
      <c r="C142" s="93">
        <v>29200</v>
      </c>
      <c r="D142" s="94" t="s">
        <v>206</v>
      </c>
      <c r="E142" s="8">
        <v>695.49199999999996</v>
      </c>
      <c r="F142" s="8">
        <f t="shared" si="4"/>
        <v>632.26545454545442</v>
      </c>
      <c r="G142" s="8">
        <f t="shared" si="5"/>
        <v>596.476843910806</v>
      </c>
      <c r="H142" s="8">
        <v>517.44826264037727</v>
      </c>
      <c r="I142" s="8">
        <v>0</v>
      </c>
      <c r="J142" s="84"/>
    </row>
    <row r="143" spans="1:10" x14ac:dyDescent="0.25">
      <c r="A143" s="101"/>
      <c r="B143" s="92">
        <v>828537</v>
      </c>
      <c r="C143" s="93">
        <v>21500</v>
      </c>
      <c r="D143" s="94" t="s">
        <v>207</v>
      </c>
      <c r="E143" s="8">
        <v>985.08759999999995</v>
      </c>
      <c r="F143" s="8">
        <f t="shared" si="4"/>
        <v>895.53418181818165</v>
      </c>
      <c r="G143" s="8">
        <f t="shared" si="5"/>
        <v>844.84356775300148</v>
      </c>
      <c r="H143" s="8">
        <v>732.9014591056216</v>
      </c>
      <c r="I143" s="8">
        <v>0</v>
      </c>
      <c r="J143" s="84"/>
    </row>
    <row r="144" spans="1:10" x14ac:dyDescent="0.25">
      <c r="A144" s="101"/>
      <c r="B144" s="92">
        <v>828621</v>
      </c>
      <c r="C144" s="93">
        <v>22500</v>
      </c>
      <c r="D144" s="94" t="s">
        <v>208</v>
      </c>
      <c r="E144" s="8">
        <v>1623.4779300730481</v>
      </c>
      <c r="F144" s="8">
        <f t="shared" si="4"/>
        <v>1475.8890273391346</v>
      </c>
      <c r="G144" s="8">
        <f t="shared" si="5"/>
        <v>1392.3481389991834</v>
      </c>
      <c r="H144" s="8">
        <v>1207.8675799743478</v>
      </c>
      <c r="I144" s="8">
        <v>0</v>
      </c>
      <c r="J144" s="84"/>
    </row>
    <row r="145" spans="1:10" ht="15.75" thickBot="1" x14ac:dyDescent="0.3">
      <c r="A145" s="102"/>
      <c r="B145" s="95">
        <v>828622</v>
      </c>
      <c r="C145" s="96">
        <v>22500</v>
      </c>
      <c r="D145" s="97" t="s">
        <v>209</v>
      </c>
      <c r="E145" s="8">
        <v>1623.4779300730481</v>
      </c>
      <c r="F145" s="8">
        <f t="shared" si="4"/>
        <v>1475.8890273391346</v>
      </c>
      <c r="G145" s="8">
        <f t="shared" si="5"/>
        <v>1392.3481389991834</v>
      </c>
      <c r="H145" s="8">
        <v>1207.8675799743478</v>
      </c>
      <c r="I145" s="8">
        <v>0</v>
      </c>
      <c r="J145" s="84"/>
    </row>
    <row r="146" spans="1:10" x14ac:dyDescent="0.25">
      <c r="A146" s="103" t="s">
        <v>210</v>
      </c>
      <c r="B146" s="89">
        <v>828667</v>
      </c>
      <c r="C146" s="90">
        <v>69000</v>
      </c>
      <c r="D146" s="91" t="s">
        <v>211</v>
      </c>
      <c r="E146" s="8">
        <v>212.14212339978693</v>
      </c>
      <c r="F146" s="8">
        <f t="shared" si="4"/>
        <v>192.8564758179881</v>
      </c>
      <c r="G146" s="8">
        <f t="shared" si="5"/>
        <v>181.94007152640387</v>
      </c>
      <c r="H146" s="8">
        <v>157.83373980944145</v>
      </c>
      <c r="I146" s="8">
        <v>0</v>
      </c>
      <c r="J146" s="10"/>
    </row>
    <row r="147" spans="1:10" x14ac:dyDescent="0.25">
      <c r="A147" s="104"/>
      <c r="B147" s="92">
        <v>828668</v>
      </c>
      <c r="C147" s="93">
        <v>64800</v>
      </c>
      <c r="D147" s="94" t="s">
        <v>212</v>
      </c>
      <c r="E147" s="8">
        <v>234.10352836858925</v>
      </c>
      <c r="F147" s="8">
        <f t="shared" si="4"/>
        <v>212.82138942599022</v>
      </c>
      <c r="G147" s="8">
        <f t="shared" si="5"/>
        <v>200.77489568489642</v>
      </c>
      <c r="H147" s="8">
        <v>174.1730251062304</v>
      </c>
      <c r="I147" s="8">
        <v>0</v>
      </c>
      <c r="J147" s="10"/>
    </row>
    <row r="148" spans="1:10" x14ac:dyDescent="0.25">
      <c r="A148" s="104"/>
      <c r="B148" s="92">
        <v>828669</v>
      </c>
      <c r="C148" s="93">
        <v>73200</v>
      </c>
      <c r="D148" s="94" t="s">
        <v>213</v>
      </c>
      <c r="E148" s="8">
        <v>234.10352836858925</v>
      </c>
      <c r="F148" s="8">
        <f t="shared" si="4"/>
        <v>212.82138942599022</v>
      </c>
      <c r="G148" s="8">
        <f t="shared" si="5"/>
        <v>200.77489568489642</v>
      </c>
      <c r="H148" s="8">
        <v>174.1730251062304</v>
      </c>
      <c r="I148" s="8">
        <v>0</v>
      </c>
      <c r="J148" s="10"/>
    </row>
    <row r="149" spans="1:10" ht="15.75" thickBot="1" x14ac:dyDescent="0.3">
      <c r="A149" s="105"/>
      <c r="B149" s="95">
        <v>828670</v>
      </c>
      <c r="C149" s="96">
        <v>75500</v>
      </c>
      <c r="D149" s="97" t="s">
        <v>214</v>
      </c>
      <c r="E149" s="8">
        <v>234.10352836858925</v>
      </c>
      <c r="F149" s="8">
        <f t="shared" si="4"/>
        <v>212.82138942599022</v>
      </c>
      <c r="G149" s="8">
        <f t="shared" si="5"/>
        <v>200.77489568489642</v>
      </c>
      <c r="H149" s="8">
        <v>174.1730251062304</v>
      </c>
      <c r="I149" s="8">
        <v>0</v>
      </c>
      <c r="J149" s="10"/>
    </row>
    <row r="150" spans="1:10" x14ac:dyDescent="0.25">
      <c r="A150" s="103" t="s">
        <v>215</v>
      </c>
      <c r="B150" s="76">
        <v>841720</v>
      </c>
      <c r="C150" s="66" t="s">
        <v>216</v>
      </c>
      <c r="D150" s="81" t="s">
        <v>217</v>
      </c>
      <c r="E150" s="8">
        <v>144.8898852533861</v>
      </c>
      <c r="F150" s="8">
        <f t="shared" si="4"/>
        <v>131.71807750307826</v>
      </c>
      <c r="G150" s="8">
        <f t="shared" si="5"/>
        <v>124.26233726705496</v>
      </c>
      <c r="H150" s="8">
        <v>107.79807462851925</v>
      </c>
      <c r="I150" s="8">
        <v>0</v>
      </c>
      <c r="J150" s="10"/>
    </row>
    <row r="151" spans="1:10" x14ac:dyDescent="0.25">
      <c r="A151" s="104"/>
      <c r="B151" s="24">
        <v>841721</v>
      </c>
      <c r="C151" s="70" t="s">
        <v>218</v>
      </c>
      <c r="D151" s="82" t="s">
        <v>219</v>
      </c>
      <c r="E151" s="8">
        <v>73.376237558971241</v>
      </c>
      <c r="F151" s="8">
        <f t="shared" si="4"/>
        <v>66.705670508155663</v>
      </c>
      <c r="G151" s="8">
        <f t="shared" si="5"/>
        <v>62.9298778378827</v>
      </c>
      <c r="H151" s="8">
        <v>54.591920743874603</v>
      </c>
      <c r="I151" s="8">
        <v>0</v>
      </c>
      <c r="J151" s="10"/>
    </row>
    <row r="152" spans="1:10" x14ac:dyDescent="0.25">
      <c r="A152" s="104"/>
      <c r="B152" s="24">
        <v>841722</v>
      </c>
      <c r="C152" s="70" t="s">
        <v>218</v>
      </c>
      <c r="D152" s="82" t="s">
        <v>220</v>
      </c>
      <c r="E152" s="8">
        <v>73.376237558971241</v>
      </c>
      <c r="F152" s="8">
        <f t="shared" si="4"/>
        <v>66.705670508155663</v>
      </c>
      <c r="G152" s="8">
        <f t="shared" si="5"/>
        <v>62.9298778378827</v>
      </c>
      <c r="H152" s="8">
        <v>54.591920743874603</v>
      </c>
      <c r="I152" s="8">
        <v>0</v>
      </c>
      <c r="J152" s="10"/>
    </row>
    <row r="153" spans="1:10" x14ac:dyDescent="0.25">
      <c r="A153" s="104"/>
      <c r="B153" s="24">
        <v>841723</v>
      </c>
      <c r="C153" s="70" t="s">
        <v>218</v>
      </c>
      <c r="D153" s="82" t="s">
        <v>221</v>
      </c>
      <c r="E153" s="8">
        <v>73.376237558971241</v>
      </c>
      <c r="F153" s="8">
        <f t="shared" si="4"/>
        <v>66.705670508155663</v>
      </c>
      <c r="G153" s="8">
        <f t="shared" si="5"/>
        <v>62.9298778378827</v>
      </c>
      <c r="H153" s="8">
        <v>54.591920743874603</v>
      </c>
      <c r="I153" s="8">
        <v>0</v>
      </c>
      <c r="J153" s="84"/>
    </row>
    <row r="154" spans="1:10" x14ac:dyDescent="0.25">
      <c r="A154" s="104"/>
      <c r="B154" s="24" t="s">
        <v>222</v>
      </c>
      <c r="C154" s="70">
        <v>6095.8751393534003</v>
      </c>
      <c r="D154" s="82" t="s">
        <v>223</v>
      </c>
      <c r="E154" s="8">
        <v>971.14</v>
      </c>
      <c r="F154" s="8">
        <f t="shared" si="4"/>
        <v>882.85454545454536</v>
      </c>
      <c r="G154" s="8">
        <f t="shared" si="5"/>
        <v>832.88164665523141</v>
      </c>
      <c r="H154" s="8">
        <v>718.73799999999994</v>
      </c>
      <c r="I154" s="8">
        <v>0</v>
      </c>
      <c r="J154" s="10"/>
    </row>
    <row r="155" spans="1:10" ht="30" x14ac:dyDescent="0.25">
      <c r="A155" s="104"/>
      <c r="B155" s="69" t="s">
        <v>224</v>
      </c>
      <c r="C155" s="70">
        <v>6095.8751393534003</v>
      </c>
      <c r="D155" s="82" t="s">
        <v>225</v>
      </c>
      <c r="E155" s="8">
        <v>1380.7888</v>
      </c>
      <c r="F155" s="8">
        <f t="shared" si="4"/>
        <v>1255.2625454545455</v>
      </c>
      <c r="G155" s="8">
        <f t="shared" si="5"/>
        <v>1184.209948542024</v>
      </c>
      <c r="H155" s="8">
        <v>1021.7837119999999</v>
      </c>
      <c r="I155" s="8">
        <v>0</v>
      </c>
      <c r="J155" s="84"/>
    </row>
    <row r="156" spans="1:10" ht="30" x14ac:dyDescent="0.25">
      <c r="A156" s="106"/>
      <c r="B156" s="98" t="s">
        <v>226</v>
      </c>
      <c r="C156" s="70">
        <v>6095.8751393534003</v>
      </c>
      <c r="D156" s="88" t="s">
        <v>227</v>
      </c>
      <c r="E156" s="8">
        <v>428.10399999999998</v>
      </c>
      <c r="F156" s="8">
        <f t="shared" si="4"/>
        <v>389.18545454545449</v>
      </c>
      <c r="G156" s="8">
        <f t="shared" si="5"/>
        <v>367.15608919382498</v>
      </c>
      <c r="H156" s="8">
        <v>316.83</v>
      </c>
      <c r="I156" s="8">
        <v>0</v>
      </c>
      <c r="J156" s="84"/>
    </row>
    <row r="157" spans="1:10" ht="15.75" thickBot="1" x14ac:dyDescent="0.3">
      <c r="A157" s="105"/>
      <c r="B157" s="80" t="s">
        <v>228</v>
      </c>
      <c r="C157" s="73">
        <v>2438.3128948346343</v>
      </c>
      <c r="D157" s="83" t="s">
        <v>229</v>
      </c>
      <c r="E157" s="8">
        <v>153.51799999999997</v>
      </c>
      <c r="F157" s="8">
        <f t="shared" si="4"/>
        <v>139.56181818181815</v>
      </c>
      <c r="G157" s="8">
        <f t="shared" si="5"/>
        <v>131.66209262435675</v>
      </c>
      <c r="H157" s="8">
        <v>114.22399999999999</v>
      </c>
      <c r="I157" s="8">
        <v>0</v>
      </c>
      <c r="J157" s="84"/>
    </row>
    <row r="158" spans="1:10" x14ac:dyDescent="0.25">
      <c r="A158" s="103" t="s">
        <v>230</v>
      </c>
      <c r="B158" s="76">
        <v>342516</v>
      </c>
      <c r="C158" s="81"/>
      <c r="D158" s="81" t="s">
        <v>231</v>
      </c>
      <c r="E158" s="8">
        <v>120.74974029828033</v>
      </c>
      <c r="F158" s="8">
        <f t="shared" si="4"/>
        <v>109.77249118025483</v>
      </c>
      <c r="G158" s="8">
        <f t="shared" si="5"/>
        <v>103.55895394363662</v>
      </c>
      <c r="H158" s="8">
        <v>89.837806781920563</v>
      </c>
      <c r="I158" s="8">
        <v>0</v>
      </c>
      <c r="J158" s="84"/>
    </row>
    <row r="159" spans="1:10" x14ac:dyDescent="0.25">
      <c r="A159" s="104"/>
      <c r="B159" s="24">
        <v>342517</v>
      </c>
      <c r="C159" s="82"/>
      <c r="D159" s="82" t="s">
        <v>232</v>
      </c>
      <c r="E159" s="8">
        <v>120.74974029828033</v>
      </c>
      <c r="F159" s="8">
        <f t="shared" si="4"/>
        <v>109.77249118025483</v>
      </c>
      <c r="G159" s="8">
        <f t="shared" si="5"/>
        <v>103.55895394363662</v>
      </c>
      <c r="H159" s="8">
        <v>89.837806781920563</v>
      </c>
      <c r="I159" s="8">
        <v>0</v>
      </c>
      <c r="J159" s="84"/>
    </row>
    <row r="160" spans="1:10" x14ac:dyDescent="0.25">
      <c r="A160" s="104"/>
      <c r="B160" s="24">
        <v>342518</v>
      </c>
      <c r="C160" s="82"/>
      <c r="D160" s="82" t="s">
        <v>233</v>
      </c>
      <c r="E160" s="8">
        <v>120.74974029828033</v>
      </c>
      <c r="F160" s="8">
        <f t="shared" si="4"/>
        <v>109.77249118025483</v>
      </c>
      <c r="G160" s="8">
        <f t="shared" si="5"/>
        <v>103.55895394363662</v>
      </c>
      <c r="H160" s="8">
        <v>89.837806781920563</v>
      </c>
      <c r="I160" s="8">
        <v>0</v>
      </c>
      <c r="J160" s="84"/>
    </row>
    <row r="161" spans="1:10" x14ac:dyDescent="0.25">
      <c r="A161" s="104"/>
      <c r="B161" s="24">
        <v>342519</v>
      </c>
      <c r="C161" s="82"/>
      <c r="D161" s="82" t="s">
        <v>234</v>
      </c>
      <c r="E161" s="8">
        <v>120.74974029828033</v>
      </c>
      <c r="F161" s="8">
        <f t="shared" si="4"/>
        <v>109.77249118025483</v>
      </c>
      <c r="G161" s="8">
        <f t="shared" si="5"/>
        <v>103.55895394363662</v>
      </c>
      <c r="H161" s="8">
        <v>89.837806781920563</v>
      </c>
      <c r="I161" s="8">
        <v>0</v>
      </c>
      <c r="J161" s="84"/>
    </row>
    <row r="162" spans="1:10" x14ac:dyDescent="0.25">
      <c r="A162" s="104"/>
      <c r="B162" s="24">
        <v>342520</v>
      </c>
      <c r="C162" s="82"/>
      <c r="D162" s="82" t="s">
        <v>235</v>
      </c>
      <c r="E162" s="8">
        <v>120.74974029828033</v>
      </c>
      <c r="F162" s="8">
        <f t="shared" si="4"/>
        <v>109.77249118025483</v>
      </c>
      <c r="G162" s="8">
        <f t="shared" si="5"/>
        <v>103.55895394363662</v>
      </c>
      <c r="H162" s="8">
        <v>89.837806781920563</v>
      </c>
      <c r="I162" s="8">
        <v>0</v>
      </c>
      <c r="J162" s="84"/>
    </row>
    <row r="163" spans="1:10" x14ac:dyDescent="0.25">
      <c r="A163" s="104"/>
      <c r="B163" s="24">
        <v>342521</v>
      </c>
      <c r="C163" s="82"/>
      <c r="D163" s="82" t="s">
        <v>236</v>
      </c>
      <c r="E163" s="8">
        <v>120.74974029828033</v>
      </c>
      <c r="F163" s="8">
        <f t="shared" si="4"/>
        <v>109.77249118025483</v>
      </c>
      <c r="G163" s="8">
        <f t="shared" si="5"/>
        <v>103.55895394363662</v>
      </c>
      <c r="H163" s="8">
        <v>89.837806781920563</v>
      </c>
      <c r="I163" s="8">
        <v>0</v>
      </c>
      <c r="J163" s="84"/>
    </row>
    <row r="164" spans="1:10" x14ac:dyDescent="0.25">
      <c r="A164" s="104"/>
      <c r="B164" s="24">
        <v>342522</v>
      </c>
      <c r="C164" s="82"/>
      <c r="D164" s="82" t="s">
        <v>237</v>
      </c>
      <c r="E164" s="8">
        <v>83.595632023946024</v>
      </c>
      <c r="F164" s="8">
        <f t="shared" si="4"/>
        <v>75.996029112678201</v>
      </c>
      <c r="G164" s="8">
        <f t="shared" si="5"/>
        <v>71.694367087432255</v>
      </c>
      <c r="H164" s="8">
        <v>62.195150225815837</v>
      </c>
      <c r="I164" s="8">
        <v>0</v>
      </c>
      <c r="J164" s="84"/>
    </row>
    <row r="165" spans="1:10" x14ac:dyDescent="0.25">
      <c r="A165" s="104"/>
      <c r="B165" s="24">
        <v>342523</v>
      </c>
      <c r="C165" s="82"/>
      <c r="D165" s="82" t="s">
        <v>238</v>
      </c>
      <c r="E165" s="8">
        <v>83.595632023946024</v>
      </c>
      <c r="F165" s="8">
        <f t="shared" si="4"/>
        <v>75.996029112678201</v>
      </c>
      <c r="G165" s="8">
        <f t="shared" si="5"/>
        <v>71.694367087432255</v>
      </c>
      <c r="H165" s="8">
        <v>62.195150225815837</v>
      </c>
      <c r="I165" s="8">
        <v>0</v>
      </c>
      <c r="J165" s="84"/>
    </row>
    <row r="166" spans="1:10" x14ac:dyDescent="0.25">
      <c r="A166" s="104"/>
      <c r="B166" s="24">
        <v>342524</v>
      </c>
      <c r="C166" s="82"/>
      <c r="D166" s="82" t="s">
        <v>239</v>
      </c>
      <c r="E166" s="8">
        <v>83.595632023946024</v>
      </c>
      <c r="F166" s="8">
        <f t="shared" si="4"/>
        <v>75.996029112678201</v>
      </c>
      <c r="G166" s="8">
        <f t="shared" si="5"/>
        <v>71.694367087432255</v>
      </c>
      <c r="H166" s="8">
        <v>62.195150225815837</v>
      </c>
      <c r="I166" s="8">
        <v>0</v>
      </c>
      <c r="J166" s="84"/>
    </row>
    <row r="167" spans="1:10" x14ac:dyDescent="0.25">
      <c r="A167" s="104"/>
      <c r="B167" s="24">
        <v>342525</v>
      </c>
      <c r="C167" s="82"/>
      <c r="D167" s="82" t="s">
        <v>240</v>
      </c>
      <c r="E167" s="8">
        <v>83.595632023946024</v>
      </c>
      <c r="F167" s="8">
        <f t="shared" si="4"/>
        <v>75.996029112678201</v>
      </c>
      <c r="G167" s="8">
        <f t="shared" si="5"/>
        <v>71.694367087432255</v>
      </c>
      <c r="H167" s="8">
        <v>62.195150225815837</v>
      </c>
      <c r="I167" s="8">
        <v>0</v>
      </c>
      <c r="J167" s="84"/>
    </row>
    <row r="168" spans="1:10" x14ac:dyDescent="0.25">
      <c r="A168" s="104"/>
      <c r="B168" s="24">
        <v>342526</v>
      </c>
      <c r="C168" s="82"/>
      <c r="D168" s="82" t="s">
        <v>241</v>
      </c>
      <c r="E168" s="8">
        <v>83.595632023946024</v>
      </c>
      <c r="F168" s="8">
        <f t="shared" si="4"/>
        <v>75.996029112678201</v>
      </c>
      <c r="G168" s="8">
        <f t="shared" si="5"/>
        <v>71.694367087432255</v>
      </c>
      <c r="H168" s="8">
        <v>62.195150225815837</v>
      </c>
      <c r="I168" s="8">
        <v>0</v>
      </c>
      <c r="J168" s="84"/>
    </row>
    <row r="169" spans="1:10" x14ac:dyDescent="0.25">
      <c r="A169" s="104"/>
      <c r="B169" s="24">
        <v>342527</v>
      </c>
      <c r="C169" s="82"/>
      <c r="D169" s="82" t="s">
        <v>242</v>
      </c>
      <c r="E169" s="8">
        <v>83.595632023946024</v>
      </c>
      <c r="F169" s="8">
        <f t="shared" si="4"/>
        <v>75.996029112678201</v>
      </c>
      <c r="G169" s="8">
        <f t="shared" si="5"/>
        <v>71.694367087432255</v>
      </c>
      <c r="H169" s="8">
        <v>62.195150225815837</v>
      </c>
      <c r="I169" s="8">
        <v>0</v>
      </c>
      <c r="J169" s="84"/>
    </row>
    <row r="170" spans="1:10" x14ac:dyDescent="0.25">
      <c r="A170" s="104"/>
      <c r="B170" s="24">
        <v>342066</v>
      </c>
      <c r="C170" s="82"/>
      <c r="D170" s="82" t="s">
        <v>243</v>
      </c>
      <c r="E170" s="8">
        <v>106.38252168166534</v>
      </c>
      <c r="F170" s="8">
        <f t="shared" si="4"/>
        <v>96.711383346968475</v>
      </c>
      <c r="G170" s="8">
        <f t="shared" si="5"/>
        <v>91.237154100913656</v>
      </c>
      <c r="H170" s="8">
        <v>79.14859613115901</v>
      </c>
      <c r="I170" s="8">
        <v>0</v>
      </c>
      <c r="J170" s="84"/>
    </row>
    <row r="171" spans="1:10" x14ac:dyDescent="0.25">
      <c r="A171" s="104"/>
      <c r="B171" s="24">
        <v>342067</v>
      </c>
      <c r="C171" s="82"/>
      <c r="D171" s="82" t="s">
        <v>244</v>
      </c>
      <c r="E171" s="8">
        <v>106.38252168166534</v>
      </c>
      <c r="F171" s="8">
        <f t="shared" si="4"/>
        <v>96.711383346968475</v>
      </c>
      <c r="G171" s="8">
        <f t="shared" si="5"/>
        <v>91.237154100913656</v>
      </c>
      <c r="H171" s="8">
        <v>79.14859613115901</v>
      </c>
      <c r="I171" s="8">
        <v>0</v>
      </c>
      <c r="J171" s="84"/>
    </row>
    <row r="172" spans="1:10" x14ac:dyDescent="0.25">
      <c r="A172" s="104"/>
      <c r="B172" s="24">
        <v>342068</v>
      </c>
      <c r="C172" s="82"/>
      <c r="D172" s="82" t="s">
        <v>245</v>
      </c>
      <c r="E172" s="8">
        <v>101.32168197632608</v>
      </c>
      <c r="F172" s="8">
        <f t="shared" si="4"/>
        <v>92.11061997847824</v>
      </c>
      <c r="G172" s="8">
        <f t="shared" si="5"/>
        <v>86.896811300451162</v>
      </c>
      <c r="H172" s="8">
        <v>75.383331390386601</v>
      </c>
      <c r="I172" s="8">
        <v>0</v>
      </c>
      <c r="J172" s="84"/>
    </row>
    <row r="173" spans="1:10" x14ac:dyDescent="0.25">
      <c r="A173" s="104"/>
      <c r="B173" s="24">
        <v>342069</v>
      </c>
      <c r="C173" s="82"/>
      <c r="D173" s="82" t="s">
        <v>246</v>
      </c>
      <c r="E173" s="8">
        <v>101.32168197632608</v>
      </c>
      <c r="F173" s="8">
        <f t="shared" si="4"/>
        <v>92.11061997847824</v>
      </c>
      <c r="G173" s="8">
        <f t="shared" si="5"/>
        <v>86.896811300451162</v>
      </c>
      <c r="H173" s="8">
        <v>75.383331390386601</v>
      </c>
      <c r="I173" s="8">
        <v>0</v>
      </c>
      <c r="J173" s="84"/>
    </row>
    <row r="174" spans="1:10" x14ac:dyDescent="0.25">
      <c r="A174" s="104"/>
      <c r="B174" s="24">
        <v>342070</v>
      </c>
      <c r="C174" s="82"/>
      <c r="D174" s="82" t="s">
        <v>247</v>
      </c>
      <c r="E174" s="8">
        <v>101.32168197632608</v>
      </c>
      <c r="F174" s="8">
        <f t="shared" si="4"/>
        <v>92.11061997847824</v>
      </c>
      <c r="G174" s="8">
        <f t="shared" si="5"/>
        <v>86.896811300451162</v>
      </c>
      <c r="H174" s="8">
        <v>75.383331390386601</v>
      </c>
      <c r="I174" s="8">
        <v>0</v>
      </c>
      <c r="J174" s="84"/>
    </row>
    <row r="175" spans="1:10" x14ac:dyDescent="0.25">
      <c r="A175" s="104"/>
      <c r="B175" s="24">
        <v>342062</v>
      </c>
      <c r="C175" s="82"/>
      <c r="D175" s="82" t="s">
        <v>248</v>
      </c>
      <c r="E175" s="8">
        <v>75.991261482244553</v>
      </c>
      <c r="F175" s="8">
        <f t="shared" si="4"/>
        <v>69.082964983858673</v>
      </c>
      <c r="G175" s="8">
        <f t="shared" si="5"/>
        <v>65.172608475338365</v>
      </c>
      <c r="H175" s="8">
        <v>56.537498542789947</v>
      </c>
      <c r="I175" s="8">
        <v>0</v>
      </c>
      <c r="J175" s="84"/>
    </row>
    <row r="176" spans="1:10" x14ac:dyDescent="0.25">
      <c r="A176" s="104"/>
      <c r="B176" s="24">
        <v>342063</v>
      </c>
      <c r="C176" s="82"/>
      <c r="D176" s="82" t="s">
        <v>249</v>
      </c>
      <c r="E176" s="8">
        <v>119.04773192870609</v>
      </c>
      <c r="F176" s="8">
        <f t="shared" si="4"/>
        <v>108.22521084427825</v>
      </c>
      <c r="G176" s="8">
        <f t="shared" si="5"/>
        <v>102.09925551347004</v>
      </c>
      <c r="H176" s="8">
        <v>88.571512554957337</v>
      </c>
      <c r="I176" s="8">
        <v>0</v>
      </c>
      <c r="J176" s="84"/>
    </row>
    <row r="177" spans="1:10" x14ac:dyDescent="0.25">
      <c r="A177" s="104"/>
      <c r="B177" s="24">
        <v>342500</v>
      </c>
      <c r="C177" s="82"/>
      <c r="D177" s="82" t="s">
        <v>250</v>
      </c>
      <c r="E177" s="8">
        <v>182.37378316390985</v>
      </c>
      <c r="F177" s="8">
        <f t="shared" si="4"/>
        <v>165.79434833082712</v>
      </c>
      <c r="G177" s="8">
        <f t="shared" si="5"/>
        <v>156.40976257625198</v>
      </c>
      <c r="H177" s="8">
        <v>135.68609467394893</v>
      </c>
      <c r="I177" s="8">
        <v>0</v>
      </c>
      <c r="J177" s="84"/>
    </row>
    <row r="178" spans="1:10" x14ac:dyDescent="0.25">
      <c r="A178" s="104"/>
      <c r="B178" s="24">
        <v>257058</v>
      </c>
      <c r="C178" s="82"/>
      <c r="D178" s="82" t="s">
        <v>251</v>
      </c>
      <c r="E178" s="8">
        <v>150.17320721491186</v>
      </c>
      <c r="F178" s="8">
        <f t="shared" si="4"/>
        <v>136.52109746810169</v>
      </c>
      <c r="G178" s="8">
        <f t="shared" si="5"/>
        <v>128.79348817745441</v>
      </c>
      <c r="H178" s="8">
        <v>111.72886616789442</v>
      </c>
      <c r="I178" s="8">
        <v>0</v>
      </c>
      <c r="J178" s="84"/>
    </row>
    <row r="179" spans="1:10" x14ac:dyDescent="0.25">
      <c r="A179" s="104"/>
      <c r="B179" s="24">
        <v>342041</v>
      </c>
      <c r="C179" s="82"/>
      <c r="D179" s="82" t="s">
        <v>252</v>
      </c>
      <c r="E179" s="8">
        <v>50.660840988163038</v>
      </c>
      <c r="F179" s="8">
        <f t="shared" si="4"/>
        <v>46.05530998923912</v>
      </c>
      <c r="G179" s="8">
        <f t="shared" si="5"/>
        <v>43.448405650225581</v>
      </c>
      <c r="H179" s="8">
        <v>37.691665695193301</v>
      </c>
      <c r="I179" s="8">
        <v>0</v>
      </c>
      <c r="J179" s="84"/>
    </row>
    <row r="180" spans="1:10" x14ac:dyDescent="0.25">
      <c r="A180" s="104"/>
      <c r="B180" s="24">
        <v>342042</v>
      </c>
      <c r="C180" s="82"/>
      <c r="D180" s="82" t="s">
        <v>253</v>
      </c>
      <c r="E180" s="8">
        <v>50.660840988163038</v>
      </c>
      <c r="F180" s="8">
        <f t="shared" si="4"/>
        <v>46.05530998923912</v>
      </c>
      <c r="G180" s="8">
        <f t="shared" si="5"/>
        <v>43.448405650225581</v>
      </c>
      <c r="H180" s="8">
        <v>37.691665695193301</v>
      </c>
      <c r="I180" s="8">
        <v>0</v>
      </c>
      <c r="J180" s="84"/>
    </row>
    <row r="181" spans="1:10" x14ac:dyDescent="0.25">
      <c r="A181" s="104"/>
      <c r="B181" s="24">
        <v>342043</v>
      </c>
      <c r="C181" s="82"/>
      <c r="D181" s="82" t="s">
        <v>254</v>
      </c>
      <c r="E181" s="8">
        <v>50.660840988163038</v>
      </c>
      <c r="F181" s="8">
        <f t="shared" si="4"/>
        <v>46.05530998923912</v>
      </c>
      <c r="G181" s="8">
        <f t="shared" si="5"/>
        <v>43.448405650225581</v>
      </c>
      <c r="H181" s="8">
        <v>37.691665695193301</v>
      </c>
      <c r="I181" s="8">
        <v>0</v>
      </c>
      <c r="J181" s="84"/>
    </row>
    <row r="182" spans="1:10" x14ac:dyDescent="0.25">
      <c r="A182" s="104"/>
      <c r="B182" s="24">
        <v>342044</v>
      </c>
      <c r="C182" s="82"/>
      <c r="D182" s="82" t="s">
        <v>255</v>
      </c>
      <c r="E182" s="8">
        <v>33.56411825302726</v>
      </c>
      <c r="F182" s="8">
        <f t="shared" si="4"/>
        <v>30.512834775479323</v>
      </c>
      <c r="G182" s="8">
        <f t="shared" si="5"/>
        <v>28.785693184414455</v>
      </c>
      <c r="H182" s="8">
        <v>24.971703980252286</v>
      </c>
      <c r="I182" s="8">
        <v>0</v>
      </c>
      <c r="J182" s="84"/>
    </row>
    <row r="183" spans="1:10" x14ac:dyDescent="0.25">
      <c r="A183" s="104"/>
      <c r="B183" s="24">
        <v>342038</v>
      </c>
      <c r="C183" s="82"/>
      <c r="D183" s="82" t="s">
        <v>256</v>
      </c>
      <c r="E183" s="8">
        <v>33.56411825302726</v>
      </c>
      <c r="F183" s="8">
        <f t="shared" si="4"/>
        <v>30.512834775479323</v>
      </c>
      <c r="G183" s="8">
        <f t="shared" si="5"/>
        <v>28.785693184414455</v>
      </c>
      <c r="H183" s="8">
        <v>24.971703980252286</v>
      </c>
      <c r="I183" s="8">
        <v>0</v>
      </c>
      <c r="J183" s="84"/>
    </row>
    <row r="184" spans="1:10" x14ac:dyDescent="0.25">
      <c r="A184" s="104"/>
      <c r="B184" s="24">
        <v>342529</v>
      </c>
      <c r="C184" s="82"/>
      <c r="D184" s="82" t="s">
        <v>257</v>
      </c>
      <c r="E184" s="8">
        <v>296.36067538727673</v>
      </c>
      <c r="F184" s="8">
        <f t="shared" si="4"/>
        <v>269.41879580661521</v>
      </c>
      <c r="G184" s="8">
        <f t="shared" si="5"/>
        <v>254.16867528925962</v>
      </c>
      <c r="H184" s="8">
        <v>220.49234248813389</v>
      </c>
      <c r="I184" s="8">
        <v>0</v>
      </c>
      <c r="J184" s="84"/>
    </row>
    <row r="185" spans="1:10" x14ac:dyDescent="0.25">
      <c r="A185" s="104"/>
      <c r="B185" s="24">
        <v>342530</v>
      </c>
      <c r="C185" s="82"/>
      <c r="D185" s="82" t="s">
        <v>258</v>
      </c>
      <c r="E185" s="8">
        <v>100.50880098738553</v>
      </c>
      <c r="F185" s="8">
        <f t="shared" si="4"/>
        <v>91.371637261259565</v>
      </c>
      <c r="G185" s="8">
        <f t="shared" si="5"/>
        <v>86.199657793641094</v>
      </c>
      <c r="H185" s="8">
        <v>74.778547934614835</v>
      </c>
      <c r="I185" s="8">
        <v>0</v>
      </c>
      <c r="J185" s="84"/>
    </row>
    <row r="186" spans="1:10" x14ac:dyDescent="0.25">
      <c r="A186" s="104"/>
      <c r="B186" s="24">
        <v>342531</v>
      </c>
      <c r="C186" s="82"/>
      <c r="D186" s="82" t="s">
        <v>259</v>
      </c>
      <c r="E186" s="8">
        <v>115.97976174464031</v>
      </c>
      <c r="F186" s="8">
        <f t="shared" si="4"/>
        <v>105.4361470405821</v>
      </c>
      <c r="G186" s="8">
        <f t="shared" si="5"/>
        <v>99.46806324583217</v>
      </c>
      <c r="H186" s="8">
        <v>86.288942738012395</v>
      </c>
      <c r="I186" s="8">
        <v>0</v>
      </c>
      <c r="J186" s="84"/>
    </row>
    <row r="187" spans="1:10" ht="15.75" thickBot="1" x14ac:dyDescent="0.3">
      <c r="A187" s="105"/>
      <c r="B187" s="80">
        <v>515894</v>
      </c>
      <c r="C187" s="83"/>
      <c r="D187" s="83" t="s">
        <v>260</v>
      </c>
      <c r="E187" s="8">
        <v>49.821738031837349</v>
      </c>
      <c r="F187" s="8">
        <f t="shared" si="4"/>
        <v>45.292489119852128</v>
      </c>
      <c r="G187" s="8">
        <f t="shared" si="5"/>
        <v>42.728763320615215</v>
      </c>
      <c r="H187" s="8">
        <v>37.067373095686989</v>
      </c>
      <c r="I187" s="8">
        <v>0</v>
      </c>
      <c r="J187" s="84"/>
    </row>
  </sheetData>
  <autoFilter ref="A1:E20" xr:uid="{1178D524-C007-4802-BC5D-F556F9BE546D}"/>
  <mergeCells count="22">
    <mergeCell ref="A102:A105"/>
    <mergeCell ref="A54:A57"/>
    <mergeCell ref="A58:A61"/>
    <mergeCell ref="A62:A65"/>
    <mergeCell ref="A66:A69"/>
    <mergeCell ref="A70:A73"/>
    <mergeCell ref="A74:A77"/>
    <mergeCell ref="A78:A81"/>
    <mergeCell ref="A82:A85"/>
    <mergeCell ref="A86:A93"/>
    <mergeCell ref="A94:A97"/>
    <mergeCell ref="A98:A101"/>
    <mergeCell ref="A135:A145"/>
    <mergeCell ref="A146:A149"/>
    <mergeCell ref="A150:A157"/>
    <mergeCell ref="A158:A187"/>
    <mergeCell ref="A106:A109"/>
    <mergeCell ref="A110:A113"/>
    <mergeCell ref="A114:A117"/>
    <mergeCell ref="A118:A121"/>
    <mergeCell ref="A122:A125"/>
    <mergeCell ref="A126:A134"/>
  </mergeCells>
  <pageMargins left="0.70866141732283472" right="0.51181102362204722" top="0.94488188976377963" bottom="0.94488188976377963" header="0.31496062992125984" footer="0.31496062992125984"/>
  <pageSetup scale="67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TONER BN</vt:lpstr>
      <vt:lpstr>'TONER BN'!Área_de_impresión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NBN Tecnologia Total SAC</dc:creator>
  <cp:lastModifiedBy>NBN Tecnologia Total SAC</cp:lastModifiedBy>
  <dcterms:created xsi:type="dcterms:W3CDTF">2026-07-27T21:07:14Z</dcterms:created>
  <dcterms:modified xsi:type="dcterms:W3CDTF">2026-07-27T21:09:43Z</dcterms:modified>
</cp:coreProperties>
</file>